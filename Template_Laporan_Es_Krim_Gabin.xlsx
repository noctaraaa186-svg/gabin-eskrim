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sanan" sheetId="1" state="visible" r:id="rId3"/>
    <sheet name="Rekap" sheetId="2" state="visible" r:id="rId4"/>
    <sheet name="Harg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<sst xmlns="http://schemas.openxmlformats.org/spreadsheetml/2006/main" count="39" uniqueCount="35">
  <si>
    <t xml:space="preserve">Laporan Pesanan – Es Krim Gabin</t>
  </si>
  <si>
    <t xml:space="preserve">Isi kolom berlatar kuning: Tanggal, Nama Pemesan, Varian (pilih dari daftar), Jumlah, Status Bayar, Catatan. Harga Satuan &amp; Total terhitung otomatis dari sheet Harga. Data dari website (Unduh CSV) bisa ditempel mulai sel A6.</t>
  </si>
  <si>
    <t xml:space="preserve">Contoh →</t>
  </si>
  <si>
    <t xml:space="preserve">2026-10-12</t>
  </si>
  <si>
    <t xml:space="preserve">Budi</t>
  </si>
  <si>
    <t xml:space="preserve">Coklat</t>
  </si>
  <si>
    <t xml:space="preserve">Lunas</t>
  </si>
  <si>
    <t xml:space="preserve">Ambil jam istirahat</t>
  </si>
  <si>
    <t xml:space="preserve">Total pendapatan:</t>
  </si>
  <si>
    <t xml:space="preserve">No</t>
  </si>
  <si>
    <t xml:space="preserve">Tanggal</t>
  </si>
  <si>
    <t xml:space="preserve">Nama Pemesan</t>
  </si>
  <si>
    <t xml:space="preserve">Varian</t>
  </si>
  <si>
    <t xml:space="preserve">Jumlah (pcs)</t>
  </si>
  <si>
    <t xml:space="preserve">Harga Satuan</t>
  </si>
  <si>
    <t xml:space="preserve">Total</t>
  </si>
  <si>
    <t xml:space="preserve">Status Bayar</t>
  </si>
  <si>
    <t xml:space="preserve">Catatan</t>
  </si>
  <si>
    <t xml:space="preserve">Rekap Penjualan per Varian</t>
  </si>
  <si>
    <t xml:space="preserve">Semua angka terhitung otomatis dari sheet Pesanan, tidak perlu diisi manual.</t>
  </si>
  <si>
    <t xml:space="preserve">Jumlah Pesanan</t>
  </si>
  <si>
    <t xml:space="preserve">Terjual (pcs)</t>
  </si>
  <si>
    <t xml:space="preserve">Pendapatan</t>
  </si>
  <si>
    <t xml:space="preserve">Porsi Pendapatan</t>
  </si>
  <si>
    <t xml:space="preserve">TOTAL</t>
  </si>
  <si>
    <t xml:space="preserve">Status Pembayaran</t>
  </si>
  <si>
    <t xml:space="preserve">Sudah lunas</t>
  </si>
  <si>
    <t xml:space="preserve">Belum dibayar</t>
  </si>
  <si>
    <t xml:space="preserve">Belum diberi status</t>
  </si>
  <si>
    <t xml:space="preserve">Varian terlaris (pcs)</t>
  </si>
  <si>
    <t xml:space="preserve">Daftar Varian &amp; Harga – Es Krim Gabin</t>
  </si>
  <si>
    <t xml:space="preserve">Ubah sel berlatar kuning (nama varian &amp; harga). Nama &amp; harga di bawah adalah contoh awal, sesuaikan dengan produk asli.</t>
  </si>
  <si>
    <t xml:space="preserve">Vanilla</t>
  </si>
  <si>
    <t xml:space="preserve">Strawberry</t>
  </si>
  <si>
    <t xml:space="preserve">Catatan: harga Rp 5.000 adalah asumsi awal (placeholder), bukan data dari pemilik usaha.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</si>
</sst>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p &quot;#,##0;&quot;(Rp &quot;#,##0\);\-"/>
    <numFmt numFmtId="166" formatCode="yyyy\-mm\-dd"/>
    <numFmt numFmtId="167" formatCode="#,##0"/>
    <numFmt numFmtId="168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E8527A"/>
      <name val="Arial"/>
      <family val="0"/>
      <charset val="1"/>
    </font>
    <font>
      <i val="true"/>
      <sz val="9"/>
      <color rgb="FF666666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E8527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E8527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E8527A"/>
      <name val="Arial"/>
      <family val="0"/>
      <charset val="1"/>
    </font>
    <font>
      <sz val="11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9F9F9"/>
      </patternFill>
    </fill>
    <fill>
      <patternFill patternType="solid">
        <fgColor rgb="FFE8527A"/>
        <bgColor rgb="FFC0392B"/>
      </patternFill>
    </fill>
    <fill>
      <patternFill patternType="solid">
        <fgColor rgb="FFFFFF00"/>
        <bgColor rgb="FFFFFF00"/>
      </patternFill>
    </fill>
    <fill>
      <patternFill patternType="solid">
        <fgColor rgb="FFFFF4E6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3D5C5"/>
      </left>
      <right style="thin">
        <color rgb="FFE3D5C5"/>
      </right>
      <top style="thin">
        <color rgb="FFE3D5C5"/>
      </top>
      <bottom style="thin">
        <color rgb="FFE3D5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1B7F3B"/>
      </font>
    </dxf>
    <dxf>
      <font>
        <name val="Arial"/>
        <charset val="1"/>
        <family val="0"/>
        <b val="1"/>
        <color rgb="FFC0392B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F3B"/>
      <rgbColor rgb="FFC0C0C0"/>
      <rgbColor rgb="FF878787"/>
      <rgbColor rgb="FF9999FF"/>
      <rgbColor rgb="FF993366"/>
      <rgbColor rgb="FFFFF4E6"/>
      <rgbColor rgb="FFF2F2F2"/>
      <rgbColor rgb="FF660066"/>
      <rgbColor rgb="FFE8527A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E3D5C5"/>
      <rgbColor rgb="FF3366FF"/>
      <rgbColor rgb="FF33CCCC"/>
      <rgbColor rgb="FF99CC00"/>
      <rgbColor rgb="FFFFCC00"/>
      <rgbColor rgb="FFFF9900"/>
      <rgbColor rgb="FFFF6600"/>
      <rgbColor rgb="FF666666"/>
      <rgbColor rgb="FF888888"/>
      <rgbColor rgb="FF003366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Terjual per Varian (pcs)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Rekap!C4</c:f>
              <c:strCache>
                <c:ptCount val="1"/>
                <c:pt idx="0">
                  <c:v>Terjual (pcs)</c:v>
                </c:pt>
              </c:strCache>
            </c:strRef>
          </c:tx>
          <c:spPr>
            <a:solidFill>
              <a:srgbClr val="e8527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Rekap!$A$5:$A$7</c:f>
              <c:strCache>
                <c:ptCount val="3"/>
                <c:pt idx="0">
                  <c:v>Coklat</c:v>
                </c:pt>
                <c:pt idx="1">
                  <c:v>Vanilla</c:v>
                </c:pt>
                <c:pt idx="2">
                  <c:v>Strawberry</c:v>
                </c:pt>
              </c:strCache>
            </c:strRef>
          </c:cat>
          <c:val>
            <c:numRef>
              <c:f>Rekap!$C$5:$C$7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60226302"/>
        <c:axId val="94199448"/>
      </c:barChart>
      <c:catAx>
        <c:axId val="602263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199448"/>
        <c:crosses val="autoZero"/>
        <c:auto val="1"/>
        <c:lblAlgn val="ctr"/>
        <c:lblOffset val="100"/>
        <c:noMultiLvlLbl val="0"/>
      </c:catAx>
      <c:valAx>
        <c:axId val="941994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2263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131040</xdr:rowOff>
    </xdr:from>
    <xdr:to>
      <xdr:col>14</xdr:col>
      <xdr:colOff>147600</xdr:colOff>
      <xdr:row>16</xdr:row>
      <xdr:rowOff>12960</xdr:rowOff>
    </xdr:to>
    <xdr:graphicFrame>
      <xdr:nvGraphicFramePr>
        <xdr:cNvPr id="0" name="Chart 1"/>
        <xdr:cNvGraphicFramePr/>
      </xdr:nvGraphicFramePr>
      <xdr:xfrm>
        <a:off x="7025760" y="5716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32"/>
  </cols>
  <sheetData>
    <row r="1" customFormat="false" ht="19.7" hidden="false" customHeight="false" outlineLevel="0" collapsed="false">
      <c r="A1" s="1" t="s">
        <v>0</v>
      </c>
    </row>
    <row r="2" customFormat="false" ht="37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n">
        <v>3</v>
      </c>
      <c r="F3" s="4" t="n">
        <v>5000</v>
      </c>
      <c r="G3" s="4" t="n">
        <v>15000</v>
      </c>
      <c r="H3" s="3" t="s">
        <v>6</v>
      </c>
      <c r="I3" s="3" t="s">
        <v>7</v>
      </c>
    </row>
    <row r="4" customFormat="false" ht="15" hidden="false" customHeight="false" outlineLevel="0" collapsed="false">
      <c r="F4" s="5" t="s">
        <v>8</v>
      </c>
      <c r="G4" s="6" t="n">
        <f aca="false">SUM(G6:G305)</f>
        <v>0</v>
      </c>
    </row>
    <row r="5" customFormat="false" ht="25.5" hidden="false" customHeight="true" outlineLevel="0" collapsed="false">
      <c r="A5" s="7" t="s">
        <v>9</v>
      </c>
      <c r="B5" s="7" t="s">
        <v>10</v>
      </c>
      <c r="C5" s="7" t="s">
        <v>11</v>
      </c>
      <c r="D5" s="7" t="s">
        <v>12</v>
      </c>
      <c r="E5" s="7" t="s">
        <v>13</v>
      </c>
      <c r="F5" s="7" t="s">
        <v>14</v>
      </c>
      <c r="G5" s="7" t="s">
        <v>15</v>
      </c>
      <c r="H5" s="7" t="s">
        <v>16</v>
      </c>
      <c r="I5" s="7" t="s">
        <v>17</v>
      </c>
    </row>
    <row r="6" customFormat="false" ht="15" hidden="false" customHeight="false" outlineLevel="0" collapsed="false">
      <c r="A6" s="8" t="str">
        <f aca="false">IF(C6="","",ROW()-5)</f>
        <v/>
      </c>
      <c r="B6" s="9"/>
      <c r="C6" s="10"/>
      <c r="D6" s="10"/>
      <c r="E6" s="11"/>
      <c r="F6" s="12" t="str">
        <f aca="false">IF(D6="","",IFERROR(INDEX(Harga!$B$5:$B$7,MATCH(D6,Harga!$A$5:$A$7,0)),""))</f>
        <v/>
      </c>
      <c r="G6" s="12" t="str">
        <f aca="false">IF(OR(E6="",F6=""),"",E6*F6)</f>
        <v/>
      </c>
      <c r="H6" s="10"/>
      <c r="I6" s="10"/>
    </row>
    <row r="7" customFormat="false" ht="15" hidden="false" customHeight="false" outlineLevel="0" collapsed="false">
      <c r="A7" s="8" t="str">
        <f aca="false">IF(C7="","",ROW()-5)</f>
        <v/>
      </c>
      <c r="B7" s="9"/>
      <c r="C7" s="10"/>
      <c r="D7" s="10"/>
      <c r="E7" s="11"/>
      <c r="F7" s="12" t="str">
        <f aca="false">IF(D7="","",IFERROR(INDEX(Harga!$B$5:$B$7,MATCH(D7,Harga!$A$5:$A$7,0)),""))</f>
        <v/>
      </c>
      <c r="G7" s="12" t="str">
        <f aca="false">IF(OR(E7="",F7=""),"",E7*F7)</f>
        <v/>
      </c>
      <c r="H7" s="10"/>
      <c r="I7" s="10"/>
    </row>
    <row r="8" customFormat="false" ht="15" hidden="false" customHeight="false" outlineLevel="0" collapsed="false">
      <c r="A8" s="8" t="str">
        <f aca="false">IF(C8="","",ROW()-5)</f>
        <v/>
      </c>
      <c r="B8" s="9"/>
      <c r="C8" s="10"/>
      <c r="D8" s="10"/>
      <c r="E8" s="11"/>
      <c r="F8" s="12" t="str">
        <f aca="false">IF(D8="","",IFERROR(INDEX(Harga!$B$5:$B$7,MATCH(D8,Harga!$A$5:$A$7,0)),""))</f>
        <v/>
      </c>
      <c r="G8" s="12" t="str">
        <f aca="false">IF(OR(E8="",F8=""),"",E8*F8)</f>
        <v/>
      </c>
      <c r="H8" s="10"/>
      <c r="I8" s="10"/>
    </row>
    <row r="9" customFormat="false" ht="15" hidden="false" customHeight="false" outlineLevel="0" collapsed="false">
      <c r="A9" s="8" t="str">
        <f aca="false">IF(C9="","",ROW()-5)</f>
        <v/>
      </c>
      <c r="B9" s="9"/>
      <c r="C9" s="10"/>
      <c r="D9" s="10"/>
      <c r="E9" s="11"/>
      <c r="F9" s="12" t="str">
        <f aca="false">IF(D9="","",IFERROR(INDEX(Harga!$B$5:$B$7,MATCH(D9,Harga!$A$5:$A$7,0)),""))</f>
        <v/>
      </c>
      <c r="G9" s="12" t="str">
        <f aca="false">IF(OR(E9="",F9=""),"",E9*F9)</f>
        <v/>
      </c>
      <c r="H9" s="10"/>
      <c r="I9" s="10"/>
    </row>
    <row r="10" customFormat="false" ht="15" hidden="false" customHeight="false" outlineLevel="0" collapsed="false">
      <c r="A10" s="8" t="str">
        <f aca="false">IF(C10="","",ROW()-5)</f>
        <v/>
      </c>
      <c r="B10" s="9"/>
      <c r="C10" s="10"/>
      <c r="D10" s="10"/>
      <c r="E10" s="11"/>
      <c r="F10" s="12" t="str">
        <f aca="false">IF(D10="","",IFERROR(INDEX(Harga!$B$5:$B$7,MATCH(D10,Harga!$A$5:$A$7,0)),""))</f>
        <v/>
      </c>
      <c r="G10" s="12" t="str">
        <f aca="false">IF(OR(E10="",F10=""),"",E10*F10)</f>
        <v/>
      </c>
      <c r="H10" s="10"/>
      <c r="I10" s="10"/>
    </row>
    <row r="11" customFormat="false" ht="15" hidden="false" customHeight="false" outlineLevel="0" collapsed="false">
      <c r="A11" s="8" t="str">
        <f aca="false">IF(C11="","",ROW()-5)</f>
        <v/>
      </c>
      <c r="B11" s="9"/>
      <c r="C11" s="10"/>
      <c r="D11" s="10"/>
      <c r="E11" s="11"/>
      <c r="F11" s="12" t="str">
        <f aca="false">IF(D11="","",IFERROR(INDEX(Harga!$B$5:$B$7,MATCH(D11,Harga!$A$5:$A$7,0)),""))</f>
        <v/>
      </c>
      <c r="G11" s="12" t="str">
        <f aca="false">IF(OR(E11="",F11=""),"",E11*F11)</f>
        <v/>
      </c>
      <c r="H11" s="10"/>
      <c r="I11" s="10"/>
    </row>
    <row r="12" customFormat="false" ht="15" hidden="false" customHeight="false" outlineLevel="0" collapsed="false">
      <c r="A12" s="8" t="str">
        <f aca="false">IF(C12="","",ROW()-5)</f>
        <v/>
      </c>
      <c r="B12" s="9"/>
      <c r="C12" s="10"/>
      <c r="D12" s="10"/>
      <c r="E12" s="11"/>
      <c r="F12" s="12" t="str">
        <f aca="false">IF(D12="","",IFERROR(INDEX(Harga!$B$5:$B$7,MATCH(D12,Harga!$A$5:$A$7,0)),""))</f>
        <v/>
      </c>
      <c r="G12" s="12" t="str">
        <f aca="false">IF(OR(E12="",F12=""),"",E12*F12)</f>
        <v/>
      </c>
      <c r="H12" s="10"/>
      <c r="I12" s="10"/>
    </row>
    <row r="13" customFormat="false" ht="15" hidden="false" customHeight="false" outlineLevel="0" collapsed="false">
      <c r="A13" s="8" t="str">
        <f aca="false">IF(C13="","",ROW()-5)</f>
        <v/>
      </c>
      <c r="B13" s="9"/>
      <c r="C13" s="10"/>
      <c r="D13" s="10"/>
      <c r="E13" s="11"/>
      <c r="F13" s="12" t="str">
        <f aca="false">IF(D13="","",IFERROR(INDEX(Harga!$B$5:$B$7,MATCH(D13,Harga!$A$5:$A$7,0)),""))</f>
        <v/>
      </c>
      <c r="G13" s="12" t="str">
        <f aca="false">IF(OR(E13="",F13=""),"",E13*F13)</f>
        <v/>
      </c>
      <c r="H13" s="10"/>
      <c r="I13" s="10"/>
    </row>
    <row r="14" customFormat="false" ht="15" hidden="false" customHeight="false" outlineLevel="0" collapsed="false">
      <c r="A14" s="8" t="str">
        <f aca="false">IF(C14="","",ROW()-5)</f>
        <v/>
      </c>
      <c r="B14" s="9"/>
      <c r="C14" s="10"/>
      <c r="D14" s="10"/>
      <c r="E14" s="11"/>
      <c r="F14" s="12" t="str">
        <f aca="false">IF(D14="","",IFERROR(INDEX(Harga!$B$5:$B$7,MATCH(D14,Harga!$A$5:$A$7,0)),""))</f>
        <v/>
      </c>
      <c r="G14" s="12" t="str">
        <f aca="false">IF(OR(E14="",F14=""),"",E14*F14)</f>
        <v/>
      </c>
      <c r="H14" s="10"/>
      <c r="I14" s="10"/>
    </row>
    <row r="15" customFormat="false" ht="15" hidden="false" customHeight="false" outlineLevel="0" collapsed="false">
      <c r="A15" s="8" t="str">
        <f aca="false">IF(C15="","",ROW()-5)</f>
        <v/>
      </c>
      <c r="B15" s="9"/>
      <c r="C15" s="10"/>
      <c r="D15" s="10"/>
      <c r="E15" s="11"/>
      <c r="F15" s="12" t="str">
        <f aca="false">IF(D15="","",IFERROR(INDEX(Harga!$B$5:$B$7,MATCH(D15,Harga!$A$5:$A$7,0)),""))</f>
        <v/>
      </c>
      <c r="G15" s="12" t="str">
        <f aca="false">IF(OR(E15="",F15=""),"",E15*F15)</f>
        <v/>
      </c>
      <c r="H15" s="10"/>
      <c r="I15" s="10"/>
    </row>
    <row r="16" customFormat="false" ht="15" hidden="false" customHeight="false" outlineLevel="0" collapsed="false">
      <c r="A16" s="8" t="str">
        <f aca="false">IF(C16="","",ROW()-5)</f>
        <v/>
      </c>
      <c r="B16" s="9"/>
      <c r="C16" s="10"/>
      <c r="D16" s="10"/>
      <c r="E16" s="11"/>
      <c r="F16" s="12" t="str">
        <f aca="false">IF(D16="","",IFERROR(INDEX(Harga!$B$5:$B$7,MATCH(D16,Harga!$A$5:$A$7,0)),""))</f>
        <v/>
      </c>
      <c r="G16" s="12" t="str">
        <f aca="false">IF(OR(E16="",F16=""),"",E16*F16)</f>
        <v/>
      </c>
      <c r="H16" s="10"/>
      <c r="I16" s="10"/>
    </row>
    <row r="17" customFormat="false" ht="15" hidden="false" customHeight="false" outlineLevel="0" collapsed="false">
      <c r="A17" s="8" t="str">
        <f aca="false">IF(C17="","",ROW()-5)</f>
        <v/>
      </c>
      <c r="B17" s="9"/>
      <c r="C17" s="10"/>
      <c r="D17" s="10"/>
      <c r="E17" s="11"/>
      <c r="F17" s="12" t="str">
        <f aca="false">IF(D17="","",IFERROR(INDEX(Harga!$B$5:$B$7,MATCH(D17,Harga!$A$5:$A$7,0)),""))</f>
        <v/>
      </c>
      <c r="G17" s="12" t="str">
        <f aca="false">IF(OR(E17="",F17=""),"",E17*F17)</f>
        <v/>
      </c>
      <c r="H17" s="10"/>
      <c r="I17" s="10"/>
    </row>
    <row r="18" customFormat="false" ht="15" hidden="false" customHeight="false" outlineLevel="0" collapsed="false">
      <c r="A18" s="8" t="str">
        <f aca="false">IF(C18="","",ROW()-5)</f>
        <v/>
      </c>
      <c r="B18" s="9"/>
      <c r="C18" s="10"/>
      <c r="D18" s="10"/>
      <c r="E18" s="11"/>
      <c r="F18" s="12" t="str">
        <f aca="false">IF(D18="","",IFERROR(INDEX(Harga!$B$5:$B$7,MATCH(D18,Harga!$A$5:$A$7,0)),""))</f>
        <v/>
      </c>
      <c r="G18" s="12" t="str">
        <f aca="false">IF(OR(E18="",F18=""),"",E18*F18)</f>
        <v/>
      </c>
      <c r="H18" s="10"/>
      <c r="I18" s="10"/>
    </row>
    <row r="19" customFormat="false" ht="15" hidden="false" customHeight="false" outlineLevel="0" collapsed="false">
      <c r="A19" s="8" t="str">
        <f aca="false">IF(C19="","",ROW()-5)</f>
        <v/>
      </c>
      <c r="B19" s="9"/>
      <c r="C19" s="10"/>
      <c r="D19" s="10"/>
      <c r="E19" s="11"/>
      <c r="F19" s="12" t="str">
        <f aca="false">IF(D19="","",IFERROR(INDEX(Harga!$B$5:$B$7,MATCH(D19,Harga!$A$5:$A$7,0)),""))</f>
        <v/>
      </c>
      <c r="G19" s="12" t="str">
        <f aca="false">IF(OR(E19="",F19=""),"",E19*F19)</f>
        <v/>
      </c>
      <c r="H19" s="10"/>
      <c r="I19" s="10"/>
    </row>
    <row r="20" customFormat="false" ht="15" hidden="false" customHeight="false" outlineLevel="0" collapsed="false">
      <c r="A20" s="8" t="str">
        <f aca="false">IF(C20="","",ROW()-5)</f>
        <v/>
      </c>
      <c r="B20" s="9"/>
      <c r="C20" s="10"/>
      <c r="D20" s="10"/>
      <c r="E20" s="11"/>
      <c r="F20" s="12" t="str">
        <f aca="false">IF(D20="","",IFERROR(INDEX(Harga!$B$5:$B$7,MATCH(D20,Harga!$A$5:$A$7,0)),""))</f>
        <v/>
      </c>
      <c r="G20" s="12" t="str">
        <f aca="false">IF(OR(E20="",F20=""),"",E20*F20)</f>
        <v/>
      </c>
      <c r="H20" s="10"/>
      <c r="I20" s="10"/>
    </row>
    <row r="21" customFormat="false" ht="15" hidden="false" customHeight="false" outlineLevel="0" collapsed="false">
      <c r="A21" s="8" t="str">
        <f aca="false">IF(C21="","",ROW()-5)</f>
        <v/>
      </c>
      <c r="B21" s="9"/>
      <c r="C21" s="10"/>
      <c r="D21" s="10"/>
      <c r="E21" s="11"/>
      <c r="F21" s="12" t="str">
        <f aca="false">IF(D21="","",IFERROR(INDEX(Harga!$B$5:$B$7,MATCH(D21,Harga!$A$5:$A$7,0)),""))</f>
        <v/>
      </c>
      <c r="G21" s="12" t="str">
        <f aca="false">IF(OR(E21="",F21=""),"",E21*F21)</f>
        <v/>
      </c>
      <c r="H21" s="10"/>
      <c r="I21" s="10"/>
    </row>
    <row r="22" customFormat="false" ht="15" hidden="false" customHeight="false" outlineLevel="0" collapsed="false">
      <c r="A22" s="8" t="str">
        <f aca="false">IF(C22="","",ROW()-5)</f>
        <v/>
      </c>
      <c r="B22" s="9"/>
      <c r="C22" s="10"/>
      <c r="D22" s="10"/>
      <c r="E22" s="11"/>
      <c r="F22" s="12" t="str">
        <f aca="false">IF(D22="","",IFERROR(INDEX(Harga!$B$5:$B$7,MATCH(D22,Harga!$A$5:$A$7,0)),""))</f>
        <v/>
      </c>
      <c r="G22" s="12" t="str">
        <f aca="false">IF(OR(E22="",F22=""),"",E22*F22)</f>
        <v/>
      </c>
      <c r="H22" s="10"/>
      <c r="I22" s="10"/>
    </row>
    <row r="23" customFormat="false" ht="15" hidden="false" customHeight="false" outlineLevel="0" collapsed="false">
      <c r="A23" s="8" t="str">
        <f aca="false">IF(C23="","",ROW()-5)</f>
        <v/>
      </c>
      <c r="B23" s="9"/>
      <c r="C23" s="10"/>
      <c r="D23" s="10"/>
      <c r="E23" s="11"/>
      <c r="F23" s="12" t="str">
        <f aca="false">IF(D23="","",IFERROR(INDEX(Harga!$B$5:$B$7,MATCH(D23,Harga!$A$5:$A$7,0)),""))</f>
        <v/>
      </c>
      <c r="G23" s="12" t="str">
        <f aca="false">IF(OR(E23="",F23=""),"",E23*F23)</f>
        <v/>
      </c>
      <c r="H23" s="10"/>
      <c r="I23" s="10"/>
    </row>
    <row r="24" customFormat="false" ht="15" hidden="false" customHeight="false" outlineLevel="0" collapsed="false">
      <c r="A24" s="8" t="str">
        <f aca="false">IF(C24="","",ROW()-5)</f>
        <v/>
      </c>
      <c r="B24" s="9"/>
      <c r="C24" s="10"/>
      <c r="D24" s="10"/>
      <c r="E24" s="11"/>
      <c r="F24" s="12" t="str">
        <f aca="false">IF(D24="","",IFERROR(INDEX(Harga!$B$5:$B$7,MATCH(D24,Harga!$A$5:$A$7,0)),""))</f>
        <v/>
      </c>
      <c r="G24" s="12" t="str">
        <f aca="false">IF(OR(E24="",F24=""),"",E24*F24)</f>
        <v/>
      </c>
      <c r="H24" s="10"/>
      <c r="I24" s="10"/>
    </row>
    <row r="25" customFormat="false" ht="15" hidden="false" customHeight="false" outlineLevel="0" collapsed="false">
      <c r="A25" s="8" t="str">
        <f aca="false">IF(C25="","",ROW()-5)</f>
        <v/>
      </c>
      <c r="B25" s="9"/>
      <c r="C25" s="10"/>
      <c r="D25" s="10"/>
      <c r="E25" s="11"/>
      <c r="F25" s="12" t="str">
        <f aca="false">IF(D25="","",IFERROR(INDEX(Harga!$B$5:$B$7,MATCH(D25,Harga!$A$5:$A$7,0)),""))</f>
        <v/>
      </c>
      <c r="G25" s="12" t="str">
        <f aca="false">IF(OR(E25="",F25=""),"",E25*F25)</f>
        <v/>
      </c>
      <c r="H25" s="10"/>
      <c r="I25" s="10"/>
    </row>
    <row r="26" customFormat="false" ht="15" hidden="false" customHeight="false" outlineLevel="0" collapsed="false">
      <c r="A26" s="8" t="str">
        <f aca="false">IF(C26="","",ROW()-5)</f>
        <v/>
      </c>
      <c r="B26" s="9"/>
      <c r="C26" s="10"/>
      <c r="D26" s="10"/>
      <c r="E26" s="11"/>
      <c r="F26" s="12" t="str">
        <f aca="false">IF(D26="","",IFERROR(INDEX(Harga!$B$5:$B$7,MATCH(D26,Harga!$A$5:$A$7,0)),""))</f>
        <v/>
      </c>
      <c r="G26" s="12" t="str">
        <f aca="false">IF(OR(E26="",F26=""),"",E26*F26)</f>
        <v/>
      </c>
      <c r="H26" s="10"/>
      <c r="I26" s="10"/>
    </row>
    <row r="27" customFormat="false" ht="15" hidden="false" customHeight="false" outlineLevel="0" collapsed="false">
      <c r="A27" s="8" t="str">
        <f aca="false">IF(C27="","",ROW()-5)</f>
        <v/>
      </c>
      <c r="B27" s="9"/>
      <c r="C27" s="10"/>
      <c r="D27" s="10"/>
      <c r="E27" s="11"/>
      <c r="F27" s="12" t="str">
        <f aca="false">IF(D27="","",IFERROR(INDEX(Harga!$B$5:$B$7,MATCH(D27,Harga!$A$5:$A$7,0)),""))</f>
        <v/>
      </c>
      <c r="G27" s="12" t="str">
        <f aca="false">IF(OR(E27="",F27=""),"",E27*F27)</f>
        <v/>
      </c>
      <c r="H27" s="10"/>
      <c r="I27" s="10"/>
    </row>
    <row r="28" customFormat="false" ht="15" hidden="false" customHeight="false" outlineLevel="0" collapsed="false">
      <c r="A28" s="8" t="str">
        <f aca="false">IF(C28="","",ROW()-5)</f>
        <v/>
      </c>
      <c r="B28" s="9"/>
      <c r="C28" s="10"/>
      <c r="D28" s="10"/>
      <c r="E28" s="11"/>
      <c r="F28" s="12" t="str">
        <f aca="false">IF(D28="","",IFERROR(INDEX(Harga!$B$5:$B$7,MATCH(D28,Harga!$A$5:$A$7,0)),""))</f>
        <v/>
      </c>
      <c r="G28" s="12" t="str">
        <f aca="false">IF(OR(E28="",F28=""),"",E28*F28)</f>
        <v/>
      </c>
      <c r="H28" s="10"/>
      <c r="I28" s="10"/>
    </row>
    <row r="29" customFormat="false" ht="15" hidden="false" customHeight="false" outlineLevel="0" collapsed="false">
      <c r="A29" s="8" t="str">
        <f aca="false">IF(C29="","",ROW()-5)</f>
        <v/>
      </c>
      <c r="B29" s="9"/>
      <c r="C29" s="10"/>
      <c r="D29" s="10"/>
      <c r="E29" s="11"/>
      <c r="F29" s="12" t="str">
        <f aca="false">IF(D29="","",IFERROR(INDEX(Harga!$B$5:$B$7,MATCH(D29,Harga!$A$5:$A$7,0)),""))</f>
        <v/>
      </c>
      <c r="G29" s="12" t="str">
        <f aca="false">IF(OR(E29="",F29=""),"",E29*F29)</f>
        <v/>
      </c>
      <c r="H29" s="10"/>
      <c r="I29" s="10"/>
    </row>
    <row r="30" customFormat="false" ht="15" hidden="false" customHeight="false" outlineLevel="0" collapsed="false">
      <c r="A30" s="8" t="str">
        <f aca="false">IF(C30="","",ROW()-5)</f>
        <v/>
      </c>
      <c r="B30" s="9"/>
      <c r="C30" s="10"/>
      <c r="D30" s="10"/>
      <c r="E30" s="11"/>
      <c r="F30" s="12" t="str">
        <f aca="false">IF(D30="","",IFERROR(INDEX(Harga!$B$5:$B$7,MATCH(D30,Harga!$A$5:$A$7,0)),""))</f>
        <v/>
      </c>
      <c r="G30" s="12" t="str">
        <f aca="false">IF(OR(E30="",F30=""),"",E30*F30)</f>
        <v/>
      </c>
      <c r="H30" s="10"/>
      <c r="I30" s="10"/>
    </row>
    <row r="31" customFormat="false" ht="15" hidden="false" customHeight="false" outlineLevel="0" collapsed="false">
      <c r="A31" s="8" t="str">
        <f aca="false">IF(C31="","",ROW()-5)</f>
        <v/>
      </c>
      <c r="B31" s="9"/>
      <c r="C31" s="10"/>
      <c r="D31" s="10"/>
      <c r="E31" s="11"/>
      <c r="F31" s="12" t="str">
        <f aca="false">IF(D31="","",IFERROR(INDEX(Harga!$B$5:$B$7,MATCH(D31,Harga!$A$5:$A$7,0)),""))</f>
        <v/>
      </c>
      <c r="G31" s="12" t="str">
        <f aca="false">IF(OR(E31="",F31=""),"",E31*F31)</f>
        <v/>
      </c>
      <c r="H31" s="10"/>
      <c r="I31" s="10"/>
    </row>
    <row r="32" customFormat="false" ht="15" hidden="false" customHeight="false" outlineLevel="0" collapsed="false">
      <c r="A32" s="8" t="str">
        <f aca="false">IF(C32="","",ROW()-5)</f>
        <v/>
      </c>
      <c r="B32" s="9"/>
      <c r="C32" s="10"/>
      <c r="D32" s="10"/>
      <c r="E32" s="11"/>
      <c r="F32" s="12" t="str">
        <f aca="false">IF(D32="","",IFERROR(INDEX(Harga!$B$5:$B$7,MATCH(D32,Harga!$A$5:$A$7,0)),""))</f>
        <v/>
      </c>
      <c r="G32" s="12" t="str">
        <f aca="false">IF(OR(E32="",F32=""),"",E32*F32)</f>
        <v/>
      </c>
      <c r="H32" s="10"/>
      <c r="I32" s="10"/>
    </row>
    <row r="33" customFormat="false" ht="15" hidden="false" customHeight="false" outlineLevel="0" collapsed="false">
      <c r="A33" s="8" t="str">
        <f aca="false">IF(C33="","",ROW()-5)</f>
        <v/>
      </c>
      <c r="B33" s="9"/>
      <c r="C33" s="10"/>
      <c r="D33" s="10"/>
      <c r="E33" s="11"/>
      <c r="F33" s="12" t="str">
        <f aca="false">IF(D33="","",IFERROR(INDEX(Harga!$B$5:$B$7,MATCH(D33,Harga!$A$5:$A$7,0)),""))</f>
        <v/>
      </c>
      <c r="G33" s="12" t="str">
        <f aca="false">IF(OR(E33="",F33=""),"",E33*F33)</f>
        <v/>
      </c>
      <c r="H33" s="10"/>
      <c r="I33" s="10"/>
    </row>
    <row r="34" customFormat="false" ht="15" hidden="false" customHeight="false" outlineLevel="0" collapsed="false">
      <c r="A34" s="8" t="str">
        <f aca="false">IF(C34="","",ROW()-5)</f>
        <v/>
      </c>
      <c r="B34" s="9"/>
      <c r="C34" s="10"/>
      <c r="D34" s="10"/>
      <c r="E34" s="11"/>
      <c r="F34" s="12" t="str">
        <f aca="false">IF(D34="","",IFERROR(INDEX(Harga!$B$5:$B$7,MATCH(D34,Harga!$A$5:$A$7,0)),""))</f>
        <v/>
      </c>
      <c r="G34" s="12" t="str">
        <f aca="false">IF(OR(E34="",F34=""),"",E34*F34)</f>
        <v/>
      </c>
      <c r="H34" s="10"/>
      <c r="I34" s="10"/>
    </row>
    <row r="35" customFormat="false" ht="15" hidden="false" customHeight="false" outlineLevel="0" collapsed="false">
      <c r="A35" s="8" t="str">
        <f aca="false">IF(C35="","",ROW()-5)</f>
        <v/>
      </c>
      <c r="B35" s="9"/>
      <c r="C35" s="10"/>
      <c r="D35" s="10"/>
      <c r="E35" s="11"/>
      <c r="F35" s="12" t="str">
        <f aca="false">IF(D35="","",IFERROR(INDEX(Harga!$B$5:$B$7,MATCH(D35,Harga!$A$5:$A$7,0)),""))</f>
        <v/>
      </c>
      <c r="G35" s="12" t="str">
        <f aca="false">IF(OR(E35="",F35=""),"",E35*F35)</f>
        <v/>
      </c>
      <c r="H35" s="10"/>
      <c r="I35" s="10"/>
    </row>
    <row r="36" customFormat="false" ht="15" hidden="false" customHeight="false" outlineLevel="0" collapsed="false">
      <c r="A36" s="8" t="str">
        <f aca="false">IF(C36="","",ROW()-5)</f>
        <v/>
      </c>
      <c r="B36" s="9"/>
      <c r="C36" s="10"/>
      <c r="D36" s="10"/>
      <c r="E36" s="11"/>
      <c r="F36" s="12" t="str">
        <f aca="false">IF(D36="","",IFERROR(INDEX(Harga!$B$5:$B$7,MATCH(D36,Harga!$A$5:$A$7,0)),""))</f>
        <v/>
      </c>
      <c r="G36" s="12" t="str">
        <f aca="false">IF(OR(E36="",F36=""),"",E36*F36)</f>
        <v/>
      </c>
      <c r="H36" s="10"/>
      <c r="I36" s="10"/>
    </row>
    <row r="37" customFormat="false" ht="15" hidden="false" customHeight="false" outlineLevel="0" collapsed="false">
      <c r="A37" s="8" t="str">
        <f aca="false">IF(C37="","",ROW()-5)</f>
        <v/>
      </c>
      <c r="B37" s="9"/>
      <c r="C37" s="10"/>
      <c r="D37" s="10"/>
      <c r="E37" s="11"/>
      <c r="F37" s="12" t="str">
        <f aca="false">IF(D37="","",IFERROR(INDEX(Harga!$B$5:$B$7,MATCH(D37,Harga!$A$5:$A$7,0)),""))</f>
        <v/>
      </c>
      <c r="G37" s="12" t="str">
        <f aca="false">IF(OR(E37="",F37=""),"",E37*F37)</f>
        <v/>
      </c>
      <c r="H37" s="10"/>
      <c r="I37" s="10"/>
    </row>
    <row r="38" customFormat="false" ht="15" hidden="false" customHeight="false" outlineLevel="0" collapsed="false">
      <c r="A38" s="8" t="str">
        <f aca="false">IF(C38="","",ROW()-5)</f>
        <v/>
      </c>
      <c r="B38" s="9"/>
      <c r="C38" s="10"/>
      <c r="D38" s="10"/>
      <c r="E38" s="11"/>
      <c r="F38" s="12" t="str">
        <f aca="false">IF(D38="","",IFERROR(INDEX(Harga!$B$5:$B$7,MATCH(D38,Harga!$A$5:$A$7,0)),""))</f>
        <v/>
      </c>
      <c r="G38" s="12" t="str">
        <f aca="false">IF(OR(E38="",F38=""),"",E38*F38)</f>
        <v/>
      </c>
      <c r="H38" s="10"/>
      <c r="I38" s="10"/>
    </row>
    <row r="39" customFormat="false" ht="15" hidden="false" customHeight="false" outlineLevel="0" collapsed="false">
      <c r="A39" s="8" t="str">
        <f aca="false">IF(C39="","",ROW()-5)</f>
        <v/>
      </c>
      <c r="B39" s="9"/>
      <c r="C39" s="10"/>
      <c r="D39" s="10"/>
      <c r="E39" s="11"/>
      <c r="F39" s="12" t="str">
        <f aca="false">IF(D39="","",IFERROR(INDEX(Harga!$B$5:$B$7,MATCH(D39,Harga!$A$5:$A$7,0)),""))</f>
        <v/>
      </c>
      <c r="G39" s="12" t="str">
        <f aca="false">IF(OR(E39="",F39=""),"",E39*F39)</f>
        <v/>
      </c>
      <c r="H39" s="10"/>
      <c r="I39" s="10"/>
    </row>
    <row r="40" customFormat="false" ht="15" hidden="false" customHeight="false" outlineLevel="0" collapsed="false">
      <c r="A40" s="8" t="str">
        <f aca="false">IF(C40="","",ROW()-5)</f>
        <v/>
      </c>
      <c r="B40" s="9"/>
      <c r="C40" s="10"/>
      <c r="D40" s="10"/>
      <c r="E40" s="11"/>
      <c r="F40" s="12" t="str">
        <f aca="false">IF(D40="","",IFERROR(INDEX(Harga!$B$5:$B$7,MATCH(D40,Harga!$A$5:$A$7,0)),""))</f>
        <v/>
      </c>
      <c r="G40" s="12" t="str">
        <f aca="false">IF(OR(E40="",F40=""),"",E40*F40)</f>
        <v/>
      </c>
      <c r="H40" s="10"/>
      <c r="I40" s="10"/>
    </row>
    <row r="41" customFormat="false" ht="15" hidden="false" customHeight="false" outlineLevel="0" collapsed="false">
      <c r="A41" s="8" t="str">
        <f aca="false">IF(C41="","",ROW()-5)</f>
        <v/>
      </c>
      <c r="B41" s="9"/>
      <c r="C41" s="10"/>
      <c r="D41" s="10"/>
      <c r="E41" s="11"/>
      <c r="F41" s="12" t="str">
        <f aca="false">IF(D41="","",IFERROR(INDEX(Harga!$B$5:$B$7,MATCH(D41,Harga!$A$5:$A$7,0)),""))</f>
        <v/>
      </c>
      <c r="G41" s="12" t="str">
        <f aca="false">IF(OR(E41="",F41=""),"",E41*F41)</f>
        <v/>
      </c>
      <c r="H41" s="10"/>
      <c r="I41" s="10"/>
    </row>
    <row r="42" customFormat="false" ht="15" hidden="false" customHeight="false" outlineLevel="0" collapsed="false">
      <c r="A42" s="8" t="str">
        <f aca="false">IF(C42="","",ROW()-5)</f>
        <v/>
      </c>
      <c r="B42" s="9"/>
      <c r="C42" s="10"/>
      <c r="D42" s="10"/>
      <c r="E42" s="11"/>
      <c r="F42" s="12" t="str">
        <f aca="false">IF(D42="","",IFERROR(INDEX(Harga!$B$5:$B$7,MATCH(D42,Harga!$A$5:$A$7,0)),""))</f>
        <v/>
      </c>
      <c r="G42" s="12" t="str">
        <f aca="false">IF(OR(E42="",F42=""),"",E42*F42)</f>
        <v/>
      </c>
      <c r="H42" s="10"/>
      <c r="I42" s="10"/>
    </row>
    <row r="43" customFormat="false" ht="15" hidden="false" customHeight="false" outlineLevel="0" collapsed="false">
      <c r="A43" s="8" t="str">
        <f aca="false">IF(C43="","",ROW()-5)</f>
        <v/>
      </c>
      <c r="B43" s="9"/>
      <c r="C43" s="10"/>
      <c r="D43" s="10"/>
      <c r="E43" s="11"/>
      <c r="F43" s="12" t="str">
        <f aca="false">IF(D43="","",IFERROR(INDEX(Harga!$B$5:$B$7,MATCH(D43,Harga!$A$5:$A$7,0)),""))</f>
        <v/>
      </c>
      <c r="G43" s="12" t="str">
        <f aca="false">IF(OR(E43="",F43=""),"",E43*F43)</f>
        <v/>
      </c>
      <c r="H43" s="10"/>
      <c r="I43" s="10"/>
    </row>
    <row r="44" customFormat="false" ht="15" hidden="false" customHeight="false" outlineLevel="0" collapsed="false">
      <c r="A44" s="8" t="str">
        <f aca="false">IF(C44="","",ROW()-5)</f>
        <v/>
      </c>
      <c r="B44" s="9"/>
      <c r="C44" s="10"/>
      <c r="D44" s="10"/>
      <c r="E44" s="11"/>
      <c r="F44" s="12" t="str">
        <f aca="false">IF(D44="","",IFERROR(INDEX(Harga!$B$5:$B$7,MATCH(D44,Harga!$A$5:$A$7,0)),""))</f>
        <v/>
      </c>
      <c r="G44" s="12" t="str">
        <f aca="false">IF(OR(E44="",F44=""),"",E44*F44)</f>
        <v/>
      </c>
      <c r="H44" s="10"/>
      <c r="I44" s="10"/>
    </row>
    <row r="45" customFormat="false" ht="15" hidden="false" customHeight="false" outlineLevel="0" collapsed="false">
      <c r="A45" s="8" t="str">
        <f aca="false">IF(C45="","",ROW()-5)</f>
        <v/>
      </c>
      <c r="B45" s="9"/>
      <c r="C45" s="10"/>
      <c r="D45" s="10"/>
      <c r="E45" s="11"/>
      <c r="F45" s="12" t="str">
        <f aca="false">IF(D45="","",IFERROR(INDEX(Harga!$B$5:$B$7,MATCH(D45,Harga!$A$5:$A$7,0)),""))</f>
        <v/>
      </c>
      <c r="G45" s="12" t="str">
        <f aca="false">IF(OR(E45="",F45=""),"",E45*F45)</f>
        <v/>
      </c>
      <c r="H45" s="10"/>
      <c r="I45" s="10"/>
    </row>
    <row r="46" customFormat="false" ht="15" hidden="false" customHeight="false" outlineLevel="0" collapsed="false">
      <c r="A46" s="8" t="str">
        <f aca="false">IF(C46="","",ROW()-5)</f>
        <v/>
      </c>
      <c r="B46" s="9"/>
      <c r="C46" s="10"/>
      <c r="D46" s="10"/>
      <c r="E46" s="11"/>
      <c r="F46" s="12" t="str">
        <f aca="false">IF(D46="","",IFERROR(INDEX(Harga!$B$5:$B$7,MATCH(D46,Harga!$A$5:$A$7,0)),""))</f>
        <v/>
      </c>
      <c r="G46" s="12" t="str">
        <f aca="false">IF(OR(E46="",F46=""),"",E46*F46)</f>
        <v/>
      </c>
      <c r="H46" s="10"/>
      <c r="I46" s="10"/>
    </row>
    <row r="47" customFormat="false" ht="15" hidden="false" customHeight="false" outlineLevel="0" collapsed="false">
      <c r="A47" s="8" t="str">
        <f aca="false">IF(C47="","",ROW()-5)</f>
        <v/>
      </c>
      <c r="B47" s="9"/>
      <c r="C47" s="10"/>
      <c r="D47" s="10"/>
      <c r="E47" s="11"/>
      <c r="F47" s="12" t="str">
        <f aca="false">IF(D47="","",IFERROR(INDEX(Harga!$B$5:$B$7,MATCH(D47,Harga!$A$5:$A$7,0)),""))</f>
        <v/>
      </c>
      <c r="G47" s="12" t="str">
        <f aca="false">IF(OR(E47="",F47=""),"",E47*F47)</f>
        <v/>
      </c>
      <c r="H47" s="10"/>
      <c r="I47" s="10"/>
    </row>
    <row r="48" customFormat="false" ht="15" hidden="false" customHeight="false" outlineLevel="0" collapsed="false">
      <c r="A48" s="8" t="str">
        <f aca="false">IF(C48="","",ROW()-5)</f>
        <v/>
      </c>
      <c r="B48" s="9"/>
      <c r="C48" s="10"/>
      <c r="D48" s="10"/>
      <c r="E48" s="11"/>
      <c r="F48" s="12" t="str">
        <f aca="false">IF(D48="","",IFERROR(INDEX(Harga!$B$5:$B$7,MATCH(D48,Harga!$A$5:$A$7,0)),""))</f>
        <v/>
      </c>
      <c r="G48" s="12" t="str">
        <f aca="false">IF(OR(E48="",F48=""),"",E48*F48)</f>
        <v/>
      </c>
      <c r="H48" s="10"/>
      <c r="I48" s="10"/>
    </row>
    <row r="49" customFormat="false" ht="15" hidden="false" customHeight="false" outlineLevel="0" collapsed="false">
      <c r="A49" s="8" t="str">
        <f aca="false">IF(C49="","",ROW()-5)</f>
        <v/>
      </c>
      <c r="B49" s="9"/>
      <c r="C49" s="10"/>
      <c r="D49" s="10"/>
      <c r="E49" s="11"/>
      <c r="F49" s="12" t="str">
        <f aca="false">IF(D49="","",IFERROR(INDEX(Harga!$B$5:$B$7,MATCH(D49,Harga!$A$5:$A$7,0)),""))</f>
        <v/>
      </c>
      <c r="G49" s="12" t="str">
        <f aca="false">IF(OR(E49="",F49=""),"",E49*F49)</f>
        <v/>
      </c>
      <c r="H49" s="10"/>
      <c r="I49" s="10"/>
    </row>
    <row r="50" customFormat="false" ht="15" hidden="false" customHeight="false" outlineLevel="0" collapsed="false">
      <c r="A50" s="8" t="str">
        <f aca="false">IF(C50="","",ROW()-5)</f>
        <v/>
      </c>
      <c r="B50" s="9"/>
      <c r="C50" s="10"/>
      <c r="D50" s="10"/>
      <c r="E50" s="11"/>
      <c r="F50" s="12" t="str">
        <f aca="false">IF(D50="","",IFERROR(INDEX(Harga!$B$5:$B$7,MATCH(D50,Harga!$A$5:$A$7,0)),""))</f>
        <v/>
      </c>
      <c r="G50" s="12" t="str">
        <f aca="false">IF(OR(E50="",F50=""),"",E50*F50)</f>
        <v/>
      </c>
      <c r="H50" s="10"/>
      <c r="I50" s="10"/>
    </row>
    <row r="51" customFormat="false" ht="15" hidden="false" customHeight="false" outlineLevel="0" collapsed="false">
      <c r="A51" s="8" t="str">
        <f aca="false">IF(C51="","",ROW()-5)</f>
        <v/>
      </c>
      <c r="B51" s="9"/>
      <c r="C51" s="10"/>
      <c r="D51" s="10"/>
      <c r="E51" s="11"/>
      <c r="F51" s="12" t="str">
        <f aca="false">IF(D51="","",IFERROR(INDEX(Harga!$B$5:$B$7,MATCH(D51,Harga!$A$5:$A$7,0)),""))</f>
        <v/>
      </c>
      <c r="G51" s="12" t="str">
        <f aca="false">IF(OR(E51="",F51=""),"",E51*F51)</f>
        <v/>
      </c>
      <c r="H51" s="10"/>
      <c r="I51" s="10"/>
    </row>
    <row r="52" customFormat="false" ht="15" hidden="false" customHeight="false" outlineLevel="0" collapsed="false">
      <c r="A52" s="8" t="str">
        <f aca="false">IF(C52="","",ROW()-5)</f>
        <v/>
      </c>
      <c r="B52" s="9"/>
      <c r="C52" s="10"/>
      <c r="D52" s="10"/>
      <c r="E52" s="11"/>
      <c r="F52" s="12" t="str">
        <f aca="false">IF(D52="","",IFERROR(INDEX(Harga!$B$5:$B$7,MATCH(D52,Harga!$A$5:$A$7,0)),""))</f>
        <v/>
      </c>
      <c r="G52" s="12" t="str">
        <f aca="false">IF(OR(E52="",F52=""),"",E52*F52)</f>
        <v/>
      </c>
      <c r="H52" s="10"/>
      <c r="I52" s="10"/>
    </row>
    <row r="53" customFormat="false" ht="15" hidden="false" customHeight="false" outlineLevel="0" collapsed="false">
      <c r="A53" s="8" t="str">
        <f aca="false">IF(C53="","",ROW()-5)</f>
        <v/>
      </c>
      <c r="B53" s="9"/>
      <c r="C53" s="10"/>
      <c r="D53" s="10"/>
      <c r="E53" s="11"/>
      <c r="F53" s="12" t="str">
        <f aca="false">IF(D53="","",IFERROR(INDEX(Harga!$B$5:$B$7,MATCH(D53,Harga!$A$5:$A$7,0)),""))</f>
        <v/>
      </c>
      <c r="G53" s="12" t="str">
        <f aca="false">IF(OR(E53="",F53=""),"",E53*F53)</f>
        <v/>
      </c>
      <c r="H53" s="10"/>
      <c r="I53" s="10"/>
    </row>
    <row r="54" customFormat="false" ht="15" hidden="false" customHeight="false" outlineLevel="0" collapsed="false">
      <c r="A54" s="8" t="str">
        <f aca="false">IF(C54="","",ROW()-5)</f>
        <v/>
      </c>
      <c r="B54" s="9"/>
      <c r="C54" s="10"/>
      <c r="D54" s="10"/>
      <c r="E54" s="11"/>
      <c r="F54" s="12" t="str">
        <f aca="false">IF(D54="","",IFERROR(INDEX(Harga!$B$5:$B$7,MATCH(D54,Harga!$A$5:$A$7,0)),""))</f>
        <v/>
      </c>
      <c r="G54" s="12" t="str">
        <f aca="false">IF(OR(E54="",F54=""),"",E54*F54)</f>
        <v/>
      </c>
      <c r="H54" s="10"/>
      <c r="I54" s="10"/>
    </row>
    <row r="55" customFormat="false" ht="15" hidden="false" customHeight="false" outlineLevel="0" collapsed="false">
      <c r="A55" s="8" t="str">
        <f aca="false">IF(C55="","",ROW()-5)</f>
        <v/>
      </c>
      <c r="B55" s="9"/>
      <c r="C55" s="10"/>
      <c r="D55" s="10"/>
      <c r="E55" s="11"/>
      <c r="F55" s="12" t="str">
        <f aca="false">IF(D55="","",IFERROR(INDEX(Harga!$B$5:$B$7,MATCH(D55,Harga!$A$5:$A$7,0)),""))</f>
        <v/>
      </c>
      <c r="G55" s="12" t="str">
        <f aca="false">IF(OR(E55="",F55=""),"",E55*F55)</f>
        <v/>
      </c>
      <c r="H55" s="10"/>
      <c r="I55" s="10"/>
    </row>
    <row r="56" customFormat="false" ht="15" hidden="false" customHeight="false" outlineLevel="0" collapsed="false">
      <c r="A56" s="8" t="str">
        <f aca="false">IF(C56="","",ROW()-5)</f>
        <v/>
      </c>
      <c r="B56" s="9"/>
      <c r="C56" s="10"/>
      <c r="D56" s="10"/>
      <c r="E56" s="11"/>
      <c r="F56" s="12" t="str">
        <f aca="false">IF(D56="","",IFERROR(INDEX(Harga!$B$5:$B$7,MATCH(D56,Harga!$A$5:$A$7,0)),""))</f>
        <v/>
      </c>
      <c r="G56" s="12" t="str">
        <f aca="false">IF(OR(E56="",F56=""),"",E56*F56)</f>
        <v/>
      </c>
      <c r="H56" s="10"/>
      <c r="I56" s="10"/>
    </row>
    <row r="57" customFormat="false" ht="15" hidden="false" customHeight="false" outlineLevel="0" collapsed="false">
      <c r="A57" s="8" t="str">
        <f aca="false">IF(C57="","",ROW()-5)</f>
        <v/>
      </c>
      <c r="B57" s="9"/>
      <c r="C57" s="10"/>
      <c r="D57" s="10"/>
      <c r="E57" s="11"/>
      <c r="F57" s="12" t="str">
        <f aca="false">IF(D57="","",IFERROR(INDEX(Harga!$B$5:$B$7,MATCH(D57,Harga!$A$5:$A$7,0)),""))</f>
        <v/>
      </c>
      <c r="G57" s="12" t="str">
        <f aca="false">IF(OR(E57="",F57=""),"",E57*F57)</f>
        <v/>
      </c>
      <c r="H57" s="10"/>
      <c r="I57" s="10"/>
    </row>
    <row r="58" customFormat="false" ht="15" hidden="false" customHeight="false" outlineLevel="0" collapsed="false">
      <c r="A58" s="8" t="str">
        <f aca="false">IF(C58="","",ROW()-5)</f>
        <v/>
      </c>
      <c r="B58" s="9"/>
      <c r="C58" s="10"/>
      <c r="D58" s="10"/>
      <c r="E58" s="11"/>
      <c r="F58" s="12" t="str">
        <f aca="false">IF(D58="","",IFERROR(INDEX(Harga!$B$5:$B$7,MATCH(D58,Harga!$A$5:$A$7,0)),""))</f>
        <v/>
      </c>
      <c r="G58" s="12" t="str">
        <f aca="false">IF(OR(E58="",F58=""),"",E58*F58)</f>
        <v/>
      </c>
      <c r="H58" s="10"/>
      <c r="I58" s="10"/>
    </row>
    <row r="59" customFormat="false" ht="15" hidden="false" customHeight="false" outlineLevel="0" collapsed="false">
      <c r="A59" s="8" t="str">
        <f aca="false">IF(C59="","",ROW()-5)</f>
        <v/>
      </c>
      <c r="B59" s="9"/>
      <c r="C59" s="10"/>
      <c r="D59" s="10"/>
      <c r="E59" s="11"/>
      <c r="F59" s="12" t="str">
        <f aca="false">IF(D59="","",IFERROR(INDEX(Harga!$B$5:$B$7,MATCH(D59,Harga!$A$5:$A$7,0)),""))</f>
        <v/>
      </c>
      <c r="G59" s="12" t="str">
        <f aca="false">IF(OR(E59="",F59=""),"",E59*F59)</f>
        <v/>
      </c>
      <c r="H59" s="10"/>
      <c r="I59" s="10"/>
    </row>
    <row r="60" customFormat="false" ht="15" hidden="false" customHeight="false" outlineLevel="0" collapsed="false">
      <c r="A60" s="8" t="str">
        <f aca="false">IF(C60="","",ROW()-5)</f>
        <v/>
      </c>
      <c r="B60" s="9"/>
      <c r="C60" s="10"/>
      <c r="D60" s="10"/>
      <c r="E60" s="11"/>
      <c r="F60" s="12" t="str">
        <f aca="false">IF(D60="","",IFERROR(INDEX(Harga!$B$5:$B$7,MATCH(D60,Harga!$A$5:$A$7,0)),""))</f>
        <v/>
      </c>
      <c r="G60" s="12" t="str">
        <f aca="false">IF(OR(E60="",F60=""),"",E60*F60)</f>
        <v/>
      </c>
      <c r="H60" s="10"/>
      <c r="I60" s="10"/>
    </row>
    <row r="61" customFormat="false" ht="15" hidden="false" customHeight="false" outlineLevel="0" collapsed="false">
      <c r="A61" s="8" t="str">
        <f aca="false">IF(C61="","",ROW()-5)</f>
        <v/>
      </c>
      <c r="B61" s="9"/>
      <c r="C61" s="10"/>
      <c r="D61" s="10"/>
      <c r="E61" s="11"/>
      <c r="F61" s="12" t="str">
        <f aca="false">IF(D61="","",IFERROR(INDEX(Harga!$B$5:$B$7,MATCH(D61,Harga!$A$5:$A$7,0)),""))</f>
        <v/>
      </c>
      <c r="G61" s="12" t="str">
        <f aca="false">IF(OR(E61="",F61=""),"",E61*F61)</f>
        <v/>
      </c>
      <c r="H61" s="10"/>
      <c r="I61" s="10"/>
    </row>
    <row r="62" customFormat="false" ht="15" hidden="false" customHeight="false" outlineLevel="0" collapsed="false">
      <c r="A62" s="8" t="str">
        <f aca="false">IF(C62="","",ROW()-5)</f>
        <v/>
      </c>
      <c r="B62" s="9"/>
      <c r="C62" s="10"/>
      <c r="D62" s="10"/>
      <c r="E62" s="11"/>
      <c r="F62" s="12" t="str">
        <f aca="false">IF(D62="","",IFERROR(INDEX(Harga!$B$5:$B$7,MATCH(D62,Harga!$A$5:$A$7,0)),""))</f>
        <v/>
      </c>
      <c r="G62" s="12" t="str">
        <f aca="false">IF(OR(E62="",F62=""),"",E62*F62)</f>
        <v/>
      </c>
      <c r="H62" s="10"/>
      <c r="I62" s="10"/>
    </row>
    <row r="63" customFormat="false" ht="15" hidden="false" customHeight="false" outlineLevel="0" collapsed="false">
      <c r="A63" s="8" t="str">
        <f aca="false">IF(C63="","",ROW()-5)</f>
        <v/>
      </c>
      <c r="B63" s="9"/>
      <c r="C63" s="10"/>
      <c r="D63" s="10"/>
      <c r="E63" s="11"/>
      <c r="F63" s="12" t="str">
        <f aca="false">IF(D63="","",IFERROR(INDEX(Harga!$B$5:$B$7,MATCH(D63,Harga!$A$5:$A$7,0)),""))</f>
        <v/>
      </c>
      <c r="G63" s="12" t="str">
        <f aca="false">IF(OR(E63="",F63=""),"",E63*F63)</f>
        <v/>
      </c>
      <c r="H63" s="10"/>
      <c r="I63" s="10"/>
    </row>
    <row r="64" customFormat="false" ht="15" hidden="false" customHeight="false" outlineLevel="0" collapsed="false">
      <c r="A64" s="8" t="str">
        <f aca="false">IF(C64="","",ROW()-5)</f>
        <v/>
      </c>
      <c r="B64" s="9"/>
      <c r="C64" s="10"/>
      <c r="D64" s="10"/>
      <c r="E64" s="11"/>
      <c r="F64" s="12" t="str">
        <f aca="false">IF(D64="","",IFERROR(INDEX(Harga!$B$5:$B$7,MATCH(D64,Harga!$A$5:$A$7,0)),""))</f>
        <v/>
      </c>
      <c r="G64" s="12" t="str">
        <f aca="false">IF(OR(E64="",F64=""),"",E64*F64)</f>
        <v/>
      </c>
      <c r="H64" s="10"/>
      <c r="I64" s="10"/>
    </row>
    <row r="65" customFormat="false" ht="15" hidden="false" customHeight="false" outlineLevel="0" collapsed="false">
      <c r="A65" s="8" t="str">
        <f aca="false">IF(C65="","",ROW()-5)</f>
        <v/>
      </c>
      <c r="B65" s="9"/>
      <c r="C65" s="10"/>
      <c r="D65" s="10"/>
      <c r="E65" s="11"/>
      <c r="F65" s="12" t="str">
        <f aca="false">IF(D65="","",IFERROR(INDEX(Harga!$B$5:$B$7,MATCH(D65,Harga!$A$5:$A$7,0)),""))</f>
        <v/>
      </c>
      <c r="G65" s="12" t="str">
        <f aca="false">IF(OR(E65="",F65=""),"",E65*F65)</f>
        <v/>
      </c>
      <c r="H65" s="10"/>
      <c r="I65" s="10"/>
    </row>
    <row r="66" customFormat="false" ht="15" hidden="false" customHeight="false" outlineLevel="0" collapsed="false">
      <c r="A66" s="8" t="str">
        <f aca="false">IF(C66="","",ROW()-5)</f>
        <v/>
      </c>
      <c r="B66" s="9"/>
      <c r="C66" s="10"/>
      <c r="D66" s="10"/>
      <c r="E66" s="11"/>
      <c r="F66" s="12" t="str">
        <f aca="false">IF(D66="","",IFERROR(INDEX(Harga!$B$5:$B$7,MATCH(D66,Harga!$A$5:$A$7,0)),""))</f>
        <v/>
      </c>
      <c r="G66" s="12" t="str">
        <f aca="false">IF(OR(E66="",F66=""),"",E66*F66)</f>
        <v/>
      </c>
      <c r="H66" s="10"/>
      <c r="I66" s="10"/>
    </row>
    <row r="67" customFormat="false" ht="15" hidden="false" customHeight="false" outlineLevel="0" collapsed="false">
      <c r="A67" s="8" t="str">
        <f aca="false">IF(C67="","",ROW()-5)</f>
        <v/>
      </c>
      <c r="B67" s="9"/>
      <c r="C67" s="10"/>
      <c r="D67" s="10"/>
      <c r="E67" s="11"/>
      <c r="F67" s="12" t="str">
        <f aca="false">IF(D67="","",IFERROR(INDEX(Harga!$B$5:$B$7,MATCH(D67,Harga!$A$5:$A$7,0)),""))</f>
        <v/>
      </c>
      <c r="G67" s="12" t="str">
        <f aca="false">IF(OR(E67="",F67=""),"",E67*F67)</f>
        <v/>
      </c>
      <c r="H67" s="10"/>
      <c r="I67" s="10"/>
    </row>
    <row r="68" customFormat="false" ht="15" hidden="false" customHeight="false" outlineLevel="0" collapsed="false">
      <c r="A68" s="8" t="str">
        <f aca="false">IF(C68="","",ROW()-5)</f>
        <v/>
      </c>
      <c r="B68" s="9"/>
      <c r="C68" s="10"/>
      <c r="D68" s="10"/>
      <c r="E68" s="11"/>
      <c r="F68" s="12" t="str">
        <f aca="false">IF(D68="","",IFERROR(INDEX(Harga!$B$5:$B$7,MATCH(D68,Harga!$A$5:$A$7,0)),""))</f>
        <v/>
      </c>
      <c r="G68" s="12" t="str">
        <f aca="false">IF(OR(E68="",F68=""),"",E68*F68)</f>
        <v/>
      </c>
      <c r="H68" s="10"/>
      <c r="I68" s="10"/>
    </row>
    <row r="69" customFormat="false" ht="15" hidden="false" customHeight="false" outlineLevel="0" collapsed="false">
      <c r="A69" s="8" t="str">
        <f aca="false">IF(C69="","",ROW()-5)</f>
        <v/>
      </c>
      <c r="B69" s="9"/>
      <c r="C69" s="10"/>
      <c r="D69" s="10"/>
      <c r="E69" s="11"/>
      <c r="F69" s="12" t="str">
        <f aca="false">IF(D69="","",IFERROR(INDEX(Harga!$B$5:$B$7,MATCH(D69,Harga!$A$5:$A$7,0)),""))</f>
        <v/>
      </c>
      <c r="G69" s="12" t="str">
        <f aca="false">IF(OR(E69="",F69=""),"",E69*F69)</f>
        <v/>
      </c>
      <c r="H69" s="10"/>
      <c r="I69" s="10"/>
    </row>
    <row r="70" customFormat="false" ht="15" hidden="false" customHeight="false" outlineLevel="0" collapsed="false">
      <c r="A70" s="8" t="str">
        <f aca="false">IF(C70="","",ROW()-5)</f>
        <v/>
      </c>
      <c r="B70" s="9"/>
      <c r="C70" s="10"/>
      <c r="D70" s="10"/>
      <c r="E70" s="11"/>
      <c r="F70" s="12" t="str">
        <f aca="false">IF(D70="","",IFERROR(INDEX(Harga!$B$5:$B$7,MATCH(D70,Harga!$A$5:$A$7,0)),""))</f>
        <v/>
      </c>
      <c r="G70" s="12" t="str">
        <f aca="false">IF(OR(E70="",F70=""),"",E70*F70)</f>
        <v/>
      </c>
      <c r="H70" s="10"/>
      <c r="I70" s="10"/>
    </row>
    <row r="71" customFormat="false" ht="15" hidden="false" customHeight="false" outlineLevel="0" collapsed="false">
      <c r="A71" s="8" t="str">
        <f aca="false">IF(C71="","",ROW()-5)</f>
        <v/>
      </c>
      <c r="B71" s="9"/>
      <c r="C71" s="10"/>
      <c r="D71" s="10"/>
      <c r="E71" s="11"/>
      <c r="F71" s="12" t="str">
        <f aca="false">IF(D71="","",IFERROR(INDEX(Harga!$B$5:$B$7,MATCH(D71,Harga!$A$5:$A$7,0)),""))</f>
        <v/>
      </c>
      <c r="G71" s="12" t="str">
        <f aca="false">IF(OR(E71="",F71=""),"",E71*F71)</f>
        <v/>
      </c>
      <c r="H71" s="10"/>
      <c r="I71" s="10"/>
    </row>
    <row r="72" customFormat="false" ht="15" hidden="false" customHeight="false" outlineLevel="0" collapsed="false">
      <c r="A72" s="8" t="str">
        <f aca="false">IF(C72="","",ROW()-5)</f>
        <v/>
      </c>
      <c r="B72" s="9"/>
      <c r="C72" s="10"/>
      <c r="D72" s="10"/>
      <c r="E72" s="11"/>
      <c r="F72" s="12" t="str">
        <f aca="false">IF(D72="","",IFERROR(INDEX(Harga!$B$5:$B$7,MATCH(D72,Harga!$A$5:$A$7,0)),""))</f>
        <v/>
      </c>
      <c r="G72" s="12" t="str">
        <f aca="false">IF(OR(E72="",F72=""),"",E72*F72)</f>
        <v/>
      </c>
      <c r="H72" s="10"/>
      <c r="I72" s="10"/>
    </row>
    <row r="73" customFormat="false" ht="15" hidden="false" customHeight="false" outlineLevel="0" collapsed="false">
      <c r="A73" s="8" t="str">
        <f aca="false">IF(C73="","",ROW()-5)</f>
        <v/>
      </c>
      <c r="B73" s="9"/>
      <c r="C73" s="10"/>
      <c r="D73" s="10"/>
      <c r="E73" s="11"/>
      <c r="F73" s="12" t="str">
        <f aca="false">IF(D73="","",IFERROR(INDEX(Harga!$B$5:$B$7,MATCH(D73,Harga!$A$5:$A$7,0)),""))</f>
        <v/>
      </c>
      <c r="G73" s="12" t="str">
        <f aca="false">IF(OR(E73="",F73=""),"",E73*F73)</f>
        <v/>
      </c>
      <c r="H73" s="10"/>
      <c r="I73" s="10"/>
    </row>
    <row r="74" customFormat="false" ht="15" hidden="false" customHeight="false" outlineLevel="0" collapsed="false">
      <c r="A74" s="8" t="str">
        <f aca="false">IF(C74="","",ROW()-5)</f>
        <v/>
      </c>
      <c r="B74" s="9"/>
      <c r="C74" s="10"/>
      <c r="D74" s="10"/>
      <c r="E74" s="11"/>
      <c r="F74" s="12" t="str">
        <f aca="false">IF(D74="","",IFERROR(INDEX(Harga!$B$5:$B$7,MATCH(D74,Harga!$A$5:$A$7,0)),""))</f>
        <v/>
      </c>
      <c r="G74" s="12" t="str">
        <f aca="false">IF(OR(E74="",F74=""),"",E74*F74)</f>
        <v/>
      </c>
      <c r="H74" s="10"/>
      <c r="I74" s="10"/>
    </row>
    <row r="75" customFormat="false" ht="15" hidden="false" customHeight="false" outlineLevel="0" collapsed="false">
      <c r="A75" s="8" t="str">
        <f aca="false">IF(C75="","",ROW()-5)</f>
        <v/>
      </c>
      <c r="B75" s="9"/>
      <c r="C75" s="10"/>
      <c r="D75" s="10"/>
      <c r="E75" s="11"/>
      <c r="F75" s="12" t="str">
        <f aca="false">IF(D75="","",IFERROR(INDEX(Harga!$B$5:$B$7,MATCH(D75,Harga!$A$5:$A$7,0)),""))</f>
        <v/>
      </c>
      <c r="G75" s="12" t="str">
        <f aca="false">IF(OR(E75="",F75=""),"",E75*F75)</f>
        <v/>
      </c>
      <c r="H75" s="10"/>
      <c r="I75" s="10"/>
    </row>
    <row r="76" customFormat="false" ht="15" hidden="false" customHeight="false" outlineLevel="0" collapsed="false">
      <c r="A76" s="8" t="str">
        <f aca="false">IF(C76="","",ROW()-5)</f>
        <v/>
      </c>
      <c r="B76" s="9"/>
      <c r="C76" s="10"/>
      <c r="D76" s="10"/>
      <c r="E76" s="11"/>
      <c r="F76" s="12" t="str">
        <f aca="false">IF(D76="","",IFERROR(INDEX(Harga!$B$5:$B$7,MATCH(D76,Harga!$A$5:$A$7,0)),""))</f>
        <v/>
      </c>
      <c r="G76" s="12" t="str">
        <f aca="false">IF(OR(E76="",F76=""),"",E76*F76)</f>
        <v/>
      </c>
      <c r="H76" s="10"/>
      <c r="I76" s="10"/>
    </row>
    <row r="77" customFormat="false" ht="15" hidden="false" customHeight="false" outlineLevel="0" collapsed="false">
      <c r="A77" s="8" t="str">
        <f aca="false">IF(C77="","",ROW()-5)</f>
        <v/>
      </c>
      <c r="B77" s="9"/>
      <c r="C77" s="10"/>
      <c r="D77" s="10"/>
      <c r="E77" s="11"/>
      <c r="F77" s="12" t="str">
        <f aca="false">IF(D77="","",IFERROR(INDEX(Harga!$B$5:$B$7,MATCH(D77,Harga!$A$5:$A$7,0)),""))</f>
        <v/>
      </c>
      <c r="G77" s="12" t="str">
        <f aca="false">IF(OR(E77="",F77=""),"",E77*F77)</f>
        <v/>
      </c>
      <c r="H77" s="10"/>
      <c r="I77" s="10"/>
    </row>
    <row r="78" customFormat="false" ht="15" hidden="false" customHeight="false" outlineLevel="0" collapsed="false">
      <c r="A78" s="8" t="str">
        <f aca="false">IF(C78="","",ROW()-5)</f>
        <v/>
      </c>
      <c r="B78" s="9"/>
      <c r="C78" s="10"/>
      <c r="D78" s="10"/>
      <c r="E78" s="11"/>
      <c r="F78" s="12" t="str">
        <f aca="false">IF(D78="","",IFERROR(INDEX(Harga!$B$5:$B$7,MATCH(D78,Harga!$A$5:$A$7,0)),""))</f>
        <v/>
      </c>
      <c r="G78" s="12" t="str">
        <f aca="false">IF(OR(E78="",F78=""),"",E78*F78)</f>
        <v/>
      </c>
      <c r="H78" s="10"/>
      <c r="I78" s="10"/>
    </row>
    <row r="79" customFormat="false" ht="15" hidden="false" customHeight="false" outlineLevel="0" collapsed="false">
      <c r="A79" s="8" t="str">
        <f aca="false">IF(C79="","",ROW()-5)</f>
        <v/>
      </c>
      <c r="B79" s="9"/>
      <c r="C79" s="10"/>
      <c r="D79" s="10"/>
      <c r="E79" s="11"/>
      <c r="F79" s="12" t="str">
        <f aca="false">IF(D79="","",IFERROR(INDEX(Harga!$B$5:$B$7,MATCH(D79,Harga!$A$5:$A$7,0)),""))</f>
        <v/>
      </c>
      <c r="G79" s="12" t="str">
        <f aca="false">IF(OR(E79="",F79=""),"",E79*F79)</f>
        <v/>
      </c>
      <c r="H79" s="10"/>
      <c r="I79" s="10"/>
    </row>
    <row r="80" customFormat="false" ht="15" hidden="false" customHeight="false" outlineLevel="0" collapsed="false">
      <c r="A80" s="8" t="str">
        <f aca="false">IF(C80="","",ROW()-5)</f>
        <v/>
      </c>
      <c r="B80" s="9"/>
      <c r="C80" s="10"/>
      <c r="D80" s="10"/>
      <c r="E80" s="11"/>
      <c r="F80" s="12" t="str">
        <f aca="false">IF(D80="","",IFERROR(INDEX(Harga!$B$5:$B$7,MATCH(D80,Harga!$A$5:$A$7,0)),""))</f>
        <v/>
      </c>
      <c r="G80" s="12" t="str">
        <f aca="false">IF(OR(E80="",F80=""),"",E80*F80)</f>
        <v/>
      </c>
      <c r="H80" s="10"/>
      <c r="I80" s="10"/>
    </row>
    <row r="81" customFormat="false" ht="15" hidden="false" customHeight="false" outlineLevel="0" collapsed="false">
      <c r="A81" s="8" t="str">
        <f aca="false">IF(C81="","",ROW()-5)</f>
        <v/>
      </c>
      <c r="B81" s="9"/>
      <c r="C81" s="10"/>
      <c r="D81" s="10"/>
      <c r="E81" s="11"/>
      <c r="F81" s="12" t="str">
        <f aca="false">IF(D81="","",IFERROR(INDEX(Harga!$B$5:$B$7,MATCH(D81,Harga!$A$5:$A$7,0)),""))</f>
        <v/>
      </c>
      <c r="G81" s="12" t="str">
        <f aca="false">IF(OR(E81="",F81=""),"",E81*F81)</f>
        <v/>
      </c>
      <c r="H81" s="10"/>
      <c r="I81" s="10"/>
    </row>
    <row r="82" customFormat="false" ht="15" hidden="false" customHeight="false" outlineLevel="0" collapsed="false">
      <c r="A82" s="8" t="str">
        <f aca="false">IF(C82="","",ROW()-5)</f>
        <v/>
      </c>
      <c r="B82" s="9"/>
      <c r="C82" s="10"/>
      <c r="D82" s="10"/>
      <c r="E82" s="11"/>
      <c r="F82" s="12" t="str">
        <f aca="false">IF(D82="","",IFERROR(INDEX(Harga!$B$5:$B$7,MATCH(D82,Harga!$A$5:$A$7,0)),""))</f>
        <v/>
      </c>
      <c r="G82" s="12" t="str">
        <f aca="false">IF(OR(E82="",F82=""),"",E82*F82)</f>
        <v/>
      </c>
      <c r="H82" s="10"/>
      <c r="I82" s="10"/>
    </row>
    <row r="83" customFormat="false" ht="15" hidden="false" customHeight="false" outlineLevel="0" collapsed="false">
      <c r="A83" s="8" t="str">
        <f aca="false">IF(C83="","",ROW()-5)</f>
        <v/>
      </c>
      <c r="B83" s="9"/>
      <c r="C83" s="10"/>
      <c r="D83" s="10"/>
      <c r="E83" s="11"/>
      <c r="F83" s="12" t="str">
        <f aca="false">IF(D83="","",IFERROR(INDEX(Harga!$B$5:$B$7,MATCH(D83,Harga!$A$5:$A$7,0)),""))</f>
        <v/>
      </c>
      <c r="G83" s="12" t="str">
        <f aca="false">IF(OR(E83="",F83=""),"",E83*F83)</f>
        <v/>
      </c>
      <c r="H83" s="10"/>
      <c r="I83" s="10"/>
    </row>
    <row r="84" customFormat="false" ht="15" hidden="false" customHeight="false" outlineLevel="0" collapsed="false">
      <c r="A84" s="8" t="str">
        <f aca="false">IF(C84="","",ROW()-5)</f>
        <v/>
      </c>
      <c r="B84" s="9"/>
      <c r="C84" s="10"/>
      <c r="D84" s="10"/>
      <c r="E84" s="11"/>
      <c r="F84" s="12" t="str">
        <f aca="false">IF(D84="","",IFERROR(INDEX(Harga!$B$5:$B$7,MATCH(D84,Harga!$A$5:$A$7,0)),""))</f>
        <v/>
      </c>
      <c r="G84" s="12" t="str">
        <f aca="false">IF(OR(E84="",F84=""),"",E84*F84)</f>
        <v/>
      </c>
      <c r="H84" s="10"/>
      <c r="I84" s="10"/>
    </row>
    <row r="85" customFormat="false" ht="15" hidden="false" customHeight="false" outlineLevel="0" collapsed="false">
      <c r="A85" s="8" t="str">
        <f aca="false">IF(C85="","",ROW()-5)</f>
        <v/>
      </c>
      <c r="B85" s="9"/>
      <c r="C85" s="10"/>
      <c r="D85" s="10"/>
      <c r="E85" s="11"/>
      <c r="F85" s="12" t="str">
        <f aca="false">IF(D85="","",IFERROR(INDEX(Harga!$B$5:$B$7,MATCH(D85,Harga!$A$5:$A$7,0)),""))</f>
        <v/>
      </c>
      <c r="G85" s="12" t="str">
        <f aca="false">IF(OR(E85="",F85=""),"",E85*F85)</f>
        <v/>
      </c>
      <c r="H85" s="10"/>
      <c r="I85" s="10"/>
    </row>
    <row r="86" customFormat="false" ht="15" hidden="false" customHeight="false" outlineLevel="0" collapsed="false">
      <c r="A86" s="8" t="str">
        <f aca="false">IF(C86="","",ROW()-5)</f>
        <v/>
      </c>
      <c r="B86" s="9"/>
      <c r="C86" s="10"/>
      <c r="D86" s="10"/>
      <c r="E86" s="11"/>
      <c r="F86" s="12" t="str">
        <f aca="false">IF(D86="","",IFERROR(INDEX(Harga!$B$5:$B$7,MATCH(D86,Harga!$A$5:$A$7,0)),""))</f>
        <v/>
      </c>
      <c r="G86" s="12" t="str">
        <f aca="false">IF(OR(E86="",F86=""),"",E86*F86)</f>
        <v/>
      </c>
      <c r="H86" s="10"/>
      <c r="I86" s="10"/>
    </row>
    <row r="87" customFormat="false" ht="15" hidden="false" customHeight="false" outlineLevel="0" collapsed="false">
      <c r="A87" s="8" t="str">
        <f aca="false">IF(C87="","",ROW()-5)</f>
        <v/>
      </c>
      <c r="B87" s="9"/>
      <c r="C87" s="10"/>
      <c r="D87" s="10"/>
      <c r="E87" s="11"/>
      <c r="F87" s="12" t="str">
        <f aca="false">IF(D87="","",IFERROR(INDEX(Harga!$B$5:$B$7,MATCH(D87,Harga!$A$5:$A$7,0)),""))</f>
        <v/>
      </c>
      <c r="G87" s="12" t="str">
        <f aca="false">IF(OR(E87="",F87=""),"",E87*F87)</f>
        <v/>
      </c>
      <c r="H87" s="10"/>
      <c r="I87" s="10"/>
    </row>
    <row r="88" customFormat="false" ht="15" hidden="false" customHeight="false" outlineLevel="0" collapsed="false">
      <c r="A88" s="8" t="str">
        <f aca="false">IF(C88="","",ROW()-5)</f>
        <v/>
      </c>
      <c r="B88" s="9"/>
      <c r="C88" s="10"/>
      <c r="D88" s="10"/>
      <c r="E88" s="11"/>
      <c r="F88" s="12" t="str">
        <f aca="false">IF(D88="","",IFERROR(INDEX(Harga!$B$5:$B$7,MATCH(D88,Harga!$A$5:$A$7,0)),""))</f>
        <v/>
      </c>
      <c r="G88" s="12" t="str">
        <f aca="false">IF(OR(E88="",F88=""),"",E88*F88)</f>
        <v/>
      </c>
      <c r="H88" s="10"/>
      <c r="I88" s="10"/>
    </row>
    <row r="89" customFormat="false" ht="15" hidden="false" customHeight="false" outlineLevel="0" collapsed="false">
      <c r="A89" s="8" t="str">
        <f aca="false">IF(C89="","",ROW()-5)</f>
        <v/>
      </c>
      <c r="B89" s="9"/>
      <c r="C89" s="10"/>
      <c r="D89" s="10"/>
      <c r="E89" s="11"/>
      <c r="F89" s="12" t="str">
        <f aca="false">IF(D89="","",IFERROR(INDEX(Harga!$B$5:$B$7,MATCH(D89,Harga!$A$5:$A$7,0)),""))</f>
        <v/>
      </c>
      <c r="G89" s="12" t="str">
        <f aca="false">IF(OR(E89="",F89=""),"",E89*F89)</f>
        <v/>
      </c>
      <c r="H89" s="10"/>
      <c r="I89" s="10"/>
    </row>
    <row r="90" customFormat="false" ht="15" hidden="false" customHeight="false" outlineLevel="0" collapsed="false">
      <c r="A90" s="8" t="str">
        <f aca="false">IF(C90="","",ROW()-5)</f>
        <v/>
      </c>
      <c r="B90" s="9"/>
      <c r="C90" s="10"/>
      <c r="D90" s="10"/>
      <c r="E90" s="11"/>
      <c r="F90" s="12" t="str">
        <f aca="false">IF(D90="","",IFERROR(INDEX(Harga!$B$5:$B$7,MATCH(D90,Harga!$A$5:$A$7,0)),""))</f>
        <v/>
      </c>
      <c r="G90" s="12" t="str">
        <f aca="false">IF(OR(E90="",F90=""),"",E90*F90)</f>
        <v/>
      </c>
      <c r="H90" s="10"/>
      <c r="I90" s="10"/>
    </row>
    <row r="91" customFormat="false" ht="15" hidden="false" customHeight="false" outlineLevel="0" collapsed="false">
      <c r="A91" s="8" t="str">
        <f aca="false">IF(C91="","",ROW()-5)</f>
        <v/>
      </c>
      <c r="B91" s="9"/>
      <c r="C91" s="10"/>
      <c r="D91" s="10"/>
      <c r="E91" s="11"/>
      <c r="F91" s="12" t="str">
        <f aca="false">IF(D91="","",IFERROR(INDEX(Harga!$B$5:$B$7,MATCH(D91,Harga!$A$5:$A$7,0)),""))</f>
        <v/>
      </c>
      <c r="G91" s="12" t="str">
        <f aca="false">IF(OR(E91="",F91=""),"",E91*F91)</f>
        <v/>
      </c>
      <c r="H91" s="10"/>
      <c r="I91" s="10"/>
    </row>
    <row r="92" customFormat="false" ht="15" hidden="false" customHeight="false" outlineLevel="0" collapsed="false">
      <c r="A92" s="8" t="str">
        <f aca="false">IF(C92="","",ROW()-5)</f>
        <v/>
      </c>
      <c r="B92" s="9"/>
      <c r="C92" s="10"/>
      <c r="D92" s="10"/>
      <c r="E92" s="11"/>
      <c r="F92" s="12" t="str">
        <f aca="false">IF(D92="","",IFERROR(INDEX(Harga!$B$5:$B$7,MATCH(D92,Harga!$A$5:$A$7,0)),""))</f>
        <v/>
      </c>
      <c r="G92" s="12" t="str">
        <f aca="false">IF(OR(E92="",F92=""),"",E92*F92)</f>
        <v/>
      </c>
      <c r="H92" s="10"/>
      <c r="I92" s="10"/>
    </row>
    <row r="93" customFormat="false" ht="15" hidden="false" customHeight="false" outlineLevel="0" collapsed="false">
      <c r="A93" s="8" t="str">
        <f aca="false">IF(C93="","",ROW()-5)</f>
        <v/>
      </c>
      <c r="B93" s="9"/>
      <c r="C93" s="10"/>
      <c r="D93" s="10"/>
      <c r="E93" s="11"/>
      <c r="F93" s="12" t="str">
        <f aca="false">IF(D93="","",IFERROR(INDEX(Harga!$B$5:$B$7,MATCH(D93,Harga!$A$5:$A$7,0)),""))</f>
        <v/>
      </c>
      <c r="G93" s="12" t="str">
        <f aca="false">IF(OR(E93="",F93=""),"",E93*F93)</f>
        <v/>
      </c>
      <c r="H93" s="10"/>
      <c r="I93" s="10"/>
    </row>
    <row r="94" customFormat="false" ht="15" hidden="false" customHeight="false" outlineLevel="0" collapsed="false">
      <c r="A94" s="8" t="str">
        <f aca="false">IF(C94="","",ROW()-5)</f>
        <v/>
      </c>
      <c r="B94" s="9"/>
      <c r="C94" s="10"/>
      <c r="D94" s="10"/>
      <c r="E94" s="11"/>
      <c r="F94" s="12" t="str">
        <f aca="false">IF(D94="","",IFERROR(INDEX(Harga!$B$5:$B$7,MATCH(D94,Harga!$A$5:$A$7,0)),""))</f>
        <v/>
      </c>
      <c r="G94" s="12" t="str">
        <f aca="false">IF(OR(E94="",F94=""),"",E94*F94)</f>
        <v/>
      </c>
      <c r="H94" s="10"/>
      <c r="I94" s="10"/>
    </row>
    <row r="95" customFormat="false" ht="15" hidden="false" customHeight="false" outlineLevel="0" collapsed="false">
      <c r="A95" s="8" t="str">
        <f aca="false">IF(C95="","",ROW()-5)</f>
        <v/>
      </c>
      <c r="B95" s="9"/>
      <c r="C95" s="10"/>
      <c r="D95" s="10"/>
      <c r="E95" s="11"/>
      <c r="F95" s="12" t="str">
        <f aca="false">IF(D95="","",IFERROR(INDEX(Harga!$B$5:$B$7,MATCH(D95,Harga!$A$5:$A$7,0)),""))</f>
        <v/>
      </c>
      <c r="G95" s="12" t="str">
        <f aca="false">IF(OR(E95="",F95=""),"",E95*F95)</f>
        <v/>
      </c>
      <c r="H95" s="10"/>
      <c r="I95" s="10"/>
    </row>
    <row r="96" customFormat="false" ht="15" hidden="false" customHeight="false" outlineLevel="0" collapsed="false">
      <c r="A96" s="8" t="str">
        <f aca="false">IF(C96="","",ROW()-5)</f>
        <v/>
      </c>
      <c r="B96" s="9"/>
      <c r="C96" s="10"/>
      <c r="D96" s="10"/>
      <c r="E96" s="11"/>
      <c r="F96" s="12" t="str">
        <f aca="false">IF(D96="","",IFERROR(INDEX(Harga!$B$5:$B$7,MATCH(D96,Harga!$A$5:$A$7,0)),""))</f>
        <v/>
      </c>
      <c r="G96" s="12" t="str">
        <f aca="false">IF(OR(E96="",F96=""),"",E96*F96)</f>
        <v/>
      </c>
      <c r="H96" s="10"/>
      <c r="I96" s="10"/>
    </row>
    <row r="97" customFormat="false" ht="15" hidden="false" customHeight="false" outlineLevel="0" collapsed="false">
      <c r="A97" s="8" t="str">
        <f aca="false">IF(C97="","",ROW()-5)</f>
        <v/>
      </c>
      <c r="B97" s="9"/>
      <c r="C97" s="10"/>
      <c r="D97" s="10"/>
      <c r="E97" s="11"/>
      <c r="F97" s="12" t="str">
        <f aca="false">IF(D97="","",IFERROR(INDEX(Harga!$B$5:$B$7,MATCH(D97,Harga!$A$5:$A$7,0)),""))</f>
        <v/>
      </c>
      <c r="G97" s="12" t="str">
        <f aca="false">IF(OR(E97="",F97=""),"",E97*F97)</f>
        <v/>
      </c>
      <c r="H97" s="10"/>
      <c r="I97" s="10"/>
    </row>
    <row r="98" customFormat="false" ht="15" hidden="false" customHeight="false" outlineLevel="0" collapsed="false">
      <c r="A98" s="8" t="str">
        <f aca="false">IF(C98="","",ROW()-5)</f>
        <v/>
      </c>
      <c r="B98" s="9"/>
      <c r="C98" s="10"/>
      <c r="D98" s="10"/>
      <c r="E98" s="11"/>
      <c r="F98" s="12" t="str">
        <f aca="false">IF(D98="","",IFERROR(INDEX(Harga!$B$5:$B$7,MATCH(D98,Harga!$A$5:$A$7,0)),""))</f>
        <v/>
      </c>
      <c r="G98" s="12" t="str">
        <f aca="false">IF(OR(E98="",F98=""),"",E98*F98)</f>
        <v/>
      </c>
      <c r="H98" s="10"/>
      <c r="I98" s="10"/>
    </row>
    <row r="99" customFormat="false" ht="15" hidden="false" customHeight="false" outlineLevel="0" collapsed="false">
      <c r="A99" s="8" t="str">
        <f aca="false">IF(C99="","",ROW()-5)</f>
        <v/>
      </c>
      <c r="B99" s="9"/>
      <c r="C99" s="10"/>
      <c r="D99" s="10"/>
      <c r="E99" s="11"/>
      <c r="F99" s="12" t="str">
        <f aca="false">IF(D99="","",IFERROR(INDEX(Harga!$B$5:$B$7,MATCH(D99,Harga!$A$5:$A$7,0)),""))</f>
        <v/>
      </c>
      <c r="G99" s="12" t="str">
        <f aca="false">IF(OR(E99="",F99=""),"",E99*F99)</f>
        <v/>
      </c>
      <c r="H99" s="10"/>
      <c r="I99" s="10"/>
    </row>
    <row r="100" customFormat="false" ht="15" hidden="false" customHeight="false" outlineLevel="0" collapsed="false">
      <c r="A100" s="8" t="str">
        <f aca="false">IF(C100="","",ROW()-5)</f>
        <v/>
      </c>
      <c r="B100" s="9"/>
      <c r="C100" s="10"/>
      <c r="D100" s="10"/>
      <c r="E100" s="11"/>
      <c r="F100" s="12" t="str">
        <f aca="false">IF(D100="","",IFERROR(INDEX(Harga!$B$5:$B$7,MATCH(D100,Harga!$A$5:$A$7,0)),""))</f>
        <v/>
      </c>
      <c r="G100" s="12" t="str">
        <f aca="false">IF(OR(E100="",F100=""),"",E100*F100)</f>
        <v/>
      </c>
      <c r="H100" s="10"/>
      <c r="I100" s="10"/>
    </row>
    <row r="101" customFormat="false" ht="15" hidden="false" customHeight="false" outlineLevel="0" collapsed="false">
      <c r="A101" s="8" t="str">
        <f aca="false">IF(C101="","",ROW()-5)</f>
        <v/>
      </c>
      <c r="B101" s="9"/>
      <c r="C101" s="10"/>
      <c r="D101" s="10"/>
      <c r="E101" s="11"/>
      <c r="F101" s="12" t="str">
        <f aca="false">IF(D101="","",IFERROR(INDEX(Harga!$B$5:$B$7,MATCH(D101,Harga!$A$5:$A$7,0)),""))</f>
        <v/>
      </c>
      <c r="G101" s="12" t="str">
        <f aca="false">IF(OR(E101="",F101=""),"",E101*F101)</f>
        <v/>
      </c>
      <c r="H101" s="10"/>
      <c r="I101" s="10"/>
    </row>
    <row r="102" customFormat="false" ht="15" hidden="false" customHeight="false" outlineLevel="0" collapsed="false">
      <c r="A102" s="8" t="str">
        <f aca="false">IF(C102="","",ROW()-5)</f>
        <v/>
      </c>
      <c r="B102" s="9"/>
      <c r="C102" s="10"/>
      <c r="D102" s="10"/>
      <c r="E102" s="11"/>
      <c r="F102" s="12" t="str">
        <f aca="false">IF(D102="","",IFERROR(INDEX(Harga!$B$5:$B$7,MATCH(D102,Harga!$A$5:$A$7,0)),""))</f>
        <v/>
      </c>
      <c r="G102" s="12" t="str">
        <f aca="false">IF(OR(E102="",F102=""),"",E102*F102)</f>
        <v/>
      </c>
      <c r="H102" s="10"/>
      <c r="I102" s="10"/>
    </row>
    <row r="103" customFormat="false" ht="15" hidden="false" customHeight="false" outlineLevel="0" collapsed="false">
      <c r="A103" s="8" t="str">
        <f aca="false">IF(C103="","",ROW()-5)</f>
        <v/>
      </c>
      <c r="B103" s="9"/>
      <c r="C103" s="10"/>
      <c r="D103" s="10"/>
      <c r="E103" s="11"/>
      <c r="F103" s="12" t="str">
        <f aca="false">IF(D103="","",IFERROR(INDEX(Harga!$B$5:$B$7,MATCH(D103,Harga!$A$5:$A$7,0)),""))</f>
        <v/>
      </c>
      <c r="G103" s="12" t="str">
        <f aca="false">IF(OR(E103="",F103=""),"",E103*F103)</f>
        <v/>
      </c>
      <c r="H103" s="10"/>
      <c r="I103" s="10"/>
    </row>
    <row r="104" customFormat="false" ht="15" hidden="false" customHeight="false" outlineLevel="0" collapsed="false">
      <c r="A104" s="8" t="str">
        <f aca="false">IF(C104="","",ROW()-5)</f>
        <v/>
      </c>
      <c r="B104" s="9"/>
      <c r="C104" s="10"/>
      <c r="D104" s="10"/>
      <c r="E104" s="11"/>
      <c r="F104" s="12" t="str">
        <f aca="false">IF(D104="","",IFERROR(INDEX(Harga!$B$5:$B$7,MATCH(D104,Harga!$A$5:$A$7,0)),""))</f>
        <v/>
      </c>
      <c r="G104" s="12" t="str">
        <f aca="false">IF(OR(E104="",F104=""),"",E104*F104)</f>
        <v/>
      </c>
      <c r="H104" s="10"/>
      <c r="I104" s="10"/>
    </row>
    <row r="105" customFormat="false" ht="15" hidden="false" customHeight="false" outlineLevel="0" collapsed="false">
      <c r="A105" s="8" t="str">
        <f aca="false">IF(C105="","",ROW()-5)</f>
        <v/>
      </c>
      <c r="B105" s="9"/>
      <c r="C105" s="10"/>
      <c r="D105" s="10"/>
      <c r="E105" s="11"/>
      <c r="F105" s="12" t="str">
        <f aca="false">IF(D105="","",IFERROR(INDEX(Harga!$B$5:$B$7,MATCH(D105,Harga!$A$5:$A$7,0)),""))</f>
        <v/>
      </c>
      <c r="G105" s="12" t="str">
        <f aca="false">IF(OR(E105="",F105=""),"",E105*F105)</f>
        <v/>
      </c>
      <c r="H105" s="10"/>
      <c r="I105" s="10"/>
    </row>
    <row r="106" customFormat="false" ht="15" hidden="false" customHeight="false" outlineLevel="0" collapsed="false">
      <c r="A106" s="8" t="str">
        <f aca="false">IF(C106="","",ROW()-5)</f>
        <v/>
      </c>
      <c r="B106" s="9"/>
      <c r="C106" s="10"/>
      <c r="D106" s="10"/>
      <c r="E106" s="11"/>
      <c r="F106" s="12" t="str">
        <f aca="false">IF(D106="","",IFERROR(INDEX(Harga!$B$5:$B$7,MATCH(D106,Harga!$A$5:$A$7,0)),""))</f>
        <v/>
      </c>
      <c r="G106" s="12" t="str">
        <f aca="false">IF(OR(E106="",F106=""),"",E106*F106)</f>
        <v/>
      </c>
      <c r="H106" s="10"/>
      <c r="I106" s="10"/>
    </row>
    <row r="107" customFormat="false" ht="15" hidden="false" customHeight="false" outlineLevel="0" collapsed="false">
      <c r="A107" s="8" t="str">
        <f aca="false">IF(C107="","",ROW()-5)</f>
        <v/>
      </c>
      <c r="B107" s="9"/>
      <c r="C107" s="10"/>
      <c r="D107" s="10"/>
      <c r="E107" s="11"/>
      <c r="F107" s="12" t="str">
        <f aca="false">IF(D107="","",IFERROR(INDEX(Harga!$B$5:$B$7,MATCH(D107,Harga!$A$5:$A$7,0)),""))</f>
        <v/>
      </c>
      <c r="G107" s="12" t="str">
        <f aca="false">IF(OR(E107="",F107=""),"",E107*F107)</f>
        <v/>
      </c>
      <c r="H107" s="10"/>
      <c r="I107" s="10"/>
    </row>
    <row r="108" customFormat="false" ht="15" hidden="false" customHeight="false" outlineLevel="0" collapsed="false">
      <c r="A108" s="8" t="str">
        <f aca="false">IF(C108="","",ROW()-5)</f>
        <v/>
      </c>
      <c r="B108" s="9"/>
      <c r="C108" s="10"/>
      <c r="D108" s="10"/>
      <c r="E108" s="11"/>
      <c r="F108" s="12" t="str">
        <f aca="false">IF(D108="","",IFERROR(INDEX(Harga!$B$5:$B$7,MATCH(D108,Harga!$A$5:$A$7,0)),""))</f>
        <v/>
      </c>
      <c r="G108" s="12" t="str">
        <f aca="false">IF(OR(E108="",F108=""),"",E108*F108)</f>
        <v/>
      </c>
      <c r="H108" s="10"/>
      <c r="I108" s="10"/>
    </row>
    <row r="109" customFormat="false" ht="15" hidden="false" customHeight="false" outlineLevel="0" collapsed="false">
      <c r="A109" s="8" t="str">
        <f aca="false">IF(C109="","",ROW()-5)</f>
        <v/>
      </c>
      <c r="B109" s="9"/>
      <c r="C109" s="10"/>
      <c r="D109" s="10"/>
      <c r="E109" s="11"/>
      <c r="F109" s="12" t="str">
        <f aca="false">IF(D109="","",IFERROR(INDEX(Harga!$B$5:$B$7,MATCH(D109,Harga!$A$5:$A$7,0)),""))</f>
        <v/>
      </c>
      <c r="G109" s="12" t="str">
        <f aca="false">IF(OR(E109="",F109=""),"",E109*F109)</f>
        <v/>
      </c>
      <c r="H109" s="10"/>
      <c r="I109" s="10"/>
    </row>
    <row r="110" customFormat="false" ht="15" hidden="false" customHeight="false" outlineLevel="0" collapsed="false">
      <c r="A110" s="8" t="str">
        <f aca="false">IF(C110="","",ROW()-5)</f>
        <v/>
      </c>
      <c r="B110" s="9"/>
      <c r="C110" s="10"/>
      <c r="D110" s="10"/>
      <c r="E110" s="11"/>
      <c r="F110" s="12" t="str">
        <f aca="false">IF(D110="","",IFERROR(INDEX(Harga!$B$5:$B$7,MATCH(D110,Harga!$A$5:$A$7,0)),""))</f>
        <v/>
      </c>
      <c r="G110" s="12" t="str">
        <f aca="false">IF(OR(E110="",F110=""),"",E110*F110)</f>
        <v/>
      </c>
      <c r="H110" s="10"/>
      <c r="I110" s="10"/>
    </row>
    <row r="111" customFormat="false" ht="15" hidden="false" customHeight="false" outlineLevel="0" collapsed="false">
      <c r="A111" s="8" t="str">
        <f aca="false">IF(C111="","",ROW()-5)</f>
        <v/>
      </c>
      <c r="B111" s="9"/>
      <c r="C111" s="10"/>
      <c r="D111" s="10"/>
      <c r="E111" s="11"/>
      <c r="F111" s="12" t="str">
        <f aca="false">IF(D111="","",IFERROR(INDEX(Harga!$B$5:$B$7,MATCH(D111,Harga!$A$5:$A$7,0)),""))</f>
        <v/>
      </c>
      <c r="G111" s="12" t="str">
        <f aca="false">IF(OR(E111="",F111=""),"",E111*F111)</f>
        <v/>
      </c>
      <c r="H111" s="10"/>
      <c r="I111" s="10"/>
    </row>
    <row r="112" customFormat="false" ht="15" hidden="false" customHeight="false" outlineLevel="0" collapsed="false">
      <c r="A112" s="8" t="str">
        <f aca="false">IF(C112="","",ROW()-5)</f>
        <v/>
      </c>
      <c r="B112" s="9"/>
      <c r="C112" s="10"/>
      <c r="D112" s="10"/>
      <c r="E112" s="11"/>
      <c r="F112" s="12" t="str">
        <f aca="false">IF(D112="","",IFERROR(INDEX(Harga!$B$5:$B$7,MATCH(D112,Harga!$A$5:$A$7,0)),""))</f>
        <v/>
      </c>
      <c r="G112" s="12" t="str">
        <f aca="false">IF(OR(E112="",F112=""),"",E112*F112)</f>
        <v/>
      </c>
      <c r="H112" s="10"/>
      <c r="I112" s="10"/>
    </row>
    <row r="113" customFormat="false" ht="15" hidden="false" customHeight="false" outlineLevel="0" collapsed="false">
      <c r="A113" s="8" t="str">
        <f aca="false">IF(C113="","",ROW()-5)</f>
        <v/>
      </c>
      <c r="B113" s="9"/>
      <c r="C113" s="10"/>
      <c r="D113" s="10"/>
      <c r="E113" s="11"/>
      <c r="F113" s="12" t="str">
        <f aca="false">IF(D113="","",IFERROR(INDEX(Harga!$B$5:$B$7,MATCH(D113,Harga!$A$5:$A$7,0)),""))</f>
        <v/>
      </c>
      <c r="G113" s="12" t="str">
        <f aca="false">IF(OR(E113="",F113=""),"",E113*F113)</f>
        <v/>
      </c>
      <c r="H113" s="10"/>
      <c r="I113" s="10"/>
    </row>
    <row r="114" customFormat="false" ht="15" hidden="false" customHeight="false" outlineLevel="0" collapsed="false">
      <c r="A114" s="8" t="str">
        <f aca="false">IF(C114="","",ROW()-5)</f>
        <v/>
      </c>
      <c r="B114" s="9"/>
      <c r="C114" s="10"/>
      <c r="D114" s="10"/>
      <c r="E114" s="11"/>
      <c r="F114" s="12" t="str">
        <f aca="false">IF(D114="","",IFERROR(INDEX(Harga!$B$5:$B$7,MATCH(D114,Harga!$A$5:$A$7,0)),""))</f>
        <v/>
      </c>
      <c r="G114" s="12" t="str">
        <f aca="false">IF(OR(E114="",F114=""),"",E114*F114)</f>
        <v/>
      </c>
      <c r="H114" s="10"/>
      <c r="I114" s="10"/>
    </row>
    <row r="115" customFormat="false" ht="15" hidden="false" customHeight="false" outlineLevel="0" collapsed="false">
      <c r="A115" s="8" t="str">
        <f aca="false">IF(C115="","",ROW()-5)</f>
        <v/>
      </c>
      <c r="B115" s="9"/>
      <c r="C115" s="10"/>
      <c r="D115" s="10"/>
      <c r="E115" s="11"/>
      <c r="F115" s="12" t="str">
        <f aca="false">IF(D115="","",IFERROR(INDEX(Harga!$B$5:$B$7,MATCH(D115,Harga!$A$5:$A$7,0)),""))</f>
        <v/>
      </c>
      <c r="G115" s="12" t="str">
        <f aca="false">IF(OR(E115="",F115=""),"",E115*F115)</f>
        <v/>
      </c>
      <c r="H115" s="10"/>
      <c r="I115" s="10"/>
    </row>
    <row r="116" customFormat="false" ht="15" hidden="false" customHeight="false" outlineLevel="0" collapsed="false">
      <c r="A116" s="8" t="str">
        <f aca="false">IF(C116="","",ROW()-5)</f>
        <v/>
      </c>
      <c r="B116" s="9"/>
      <c r="C116" s="10"/>
      <c r="D116" s="10"/>
      <c r="E116" s="11"/>
      <c r="F116" s="12" t="str">
        <f aca="false">IF(D116="","",IFERROR(INDEX(Harga!$B$5:$B$7,MATCH(D116,Harga!$A$5:$A$7,0)),""))</f>
        <v/>
      </c>
      <c r="G116" s="12" t="str">
        <f aca="false">IF(OR(E116="",F116=""),"",E116*F116)</f>
        <v/>
      </c>
      <c r="H116" s="10"/>
      <c r="I116" s="10"/>
    </row>
    <row r="117" customFormat="false" ht="15" hidden="false" customHeight="false" outlineLevel="0" collapsed="false">
      <c r="A117" s="8" t="str">
        <f aca="false">IF(C117="","",ROW()-5)</f>
        <v/>
      </c>
      <c r="B117" s="9"/>
      <c r="C117" s="10"/>
      <c r="D117" s="10"/>
      <c r="E117" s="11"/>
      <c r="F117" s="12" t="str">
        <f aca="false">IF(D117="","",IFERROR(INDEX(Harga!$B$5:$B$7,MATCH(D117,Harga!$A$5:$A$7,0)),""))</f>
        <v/>
      </c>
      <c r="G117" s="12" t="str">
        <f aca="false">IF(OR(E117="",F117=""),"",E117*F117)</f>
        <v/>
      </c>
      <c r="H117" s="10"/>
      <c r="I117" s="10"/>
    </row>
    <row r="118" customFormat="false" ht="15" hidden="false" customHeight="false" outlineLevel="0" collapsed="false">
      <c r="A118" s="8" t="str">
        <f aca="false">IF(C118="","",ROW()-5)</f>
        <v/>
      </c>
      <c r="B118" s="9"/>
      <c r="C118" s="10"/>
      <c r="D118" s="10"/>
      <c r="E118" s="11"/>
      <c r="F118" s="12" t="str">
        <f aca="false">IF(D118="","",IFERROR(INDEX(Harga!$B$5:$B$7,MATCH(D118,Harga!$A$5:$A$7,0)),""))</f>
        <v/>
      </c>
      <c r="G118" s="12" t="str">
        <f aca="false">IF(OR(E118="",F118=""),"",E118*F118)</f>
        <v/>
      </c>
      <c r="H118" s="10"/>
      <c r="I118" s="10"/>
    </row>
    <row r="119" customFormat="false" ht="15" hidden="false" customHeight="false" outlineLevel="0" collapsed="false">
      <c r="A119" s="8" t="str">
        <f aca="false">IF(C119="","",ROW()-5)</f>
        <v/>
      </c>
      <c r="B119" s="9"/>
      <c r="C119" s="10"/>
      <c r="D119" s="10"/>
      <c r="E119" s="11"/>
      <c r="F119" s="12" t="str">
        <f aca="false">IF(D119="","",IFERROR(INDEX(Harga!$B$5:$B$7,MATCH(D119,Harga!$A$5:$A$7,0)),""))</f>
        <v/>
      </c>
      <c r="G119" s="12" t="str">
        <f aca="false">IF(OR(E119="",F119=""),"",E119*F119)</f>
        <v/>
      </c>
      <c r="H119" s="10"/>
      <c r="I119" s="10"/>
    </row>
    <row r="120" customFormat="false" ht="15" hidden="false" customHeight="false" outlineLevel="0" collapsed="false">
      <c r="A120" s="8" t="str">
        <f aca="false">IF(C120="","",ROW()-5)</f>
        <v/>
      </c>
      <c r="B120" s="9"/>
      <c r="C120" s="10"/>
      <c r="D120" s="10"/>
      <c r="E120" s="11"/>
      <c r="F120" s="12" t="str">
        <f aca="false">IF(D120="","",IFERROR(INDEX(Harga!$B$5:$B$7,MATCH(D120,Harga!$A$5:$A$7,0)),""))</f>
        <v/>
      </c>
      <c r="G120" s="12" t="str">
        <f aca="false">IF(OR(E120="",F120=""),"",E120*F120)</f>
        <v/>
      </c>
      <c r="H120" s="10"/>
      <c r="I120" s="10"/>
    </row>
    <row r="121" customFormat="false" ht="15" hidden="false" customHeight="false" outlineLevel="0" collapsed="false">
      <c r="A121" s="8" t="str">
        <f aca="false">IF(C121="","",ROW()-5)</f>
        <v/>
      </c>
      <c r="B121" s="9"/>
      <c r="C121" s="10"/>
      <c r="D121" s="10"/>
      <c r="E121" s="11"/>
      <c r="F121" s="12" t="str">
        <f aca="false">IF(D121="","",IFERROR(INDEX(Harga!$B$5:$B$7,MATCH(D121,Harga!$A$5:$A$7,0)),""))</f>
        <v/>
      </c>
      <c r="G121" s="12" t="str">
        <f aca="false">IF(OR(E121="",F121=""),"",E121*F121)</f>
        <v/>
      </c>
      <c r="H121" s="10"/>
      <c r="I121" s="10"/>
    </row>
    <row r="122" customFormat="false" ht="15" hidden="false" customHeight="false" outlineLevel="0" collapsed="false">
      <c r="A122" s="8" t="str">
        <f aca="false">IF(C122="","",ROW()-5)</f>
        <v/>
      </c>
      <c r="B122" s="9"/>
      <c r="C122" s="10"/>
      <c r="D122" s="10"/>
      <c r="E122" s="11"/>
      <c r="F122" s="12" t="str">
        <f aca="false">IF(D122="","",IFERROR(INDEX(Harga!$B$5:$B$7,MATCH(D122,Harga!$A$5:$A$7,0)),""))</f>
        <v/>
      </c>
      <c r="G122" s="12" t="str">
        <f aca="false">IF(OR(E122="",F122=""),"",E122*F122)</f>
        <v/>
      </c>
      <c r="H122" s="10"/>
      <c r="I122" s="10"/>
    </row>
    <row r="123" customFormat="false" ht="15" hidden="false" customHeight="false" outlineLevel="0" collapsed="false">
      <c r="A123" s="8" t="str">
        <f aca="false">IF(C123="","",ROW()-5)</f>
        <v/>
      </c>
      <c r="B123" s="9"/>
      <c r="C123" s="10"/>
      <c r="D123" s="10"/>
      <c r="E123" s="11"/>
      <c r="F123" s="12" t="str">
        <f aca="false">IF(D123="","",IFERROR(INDEX(Harga!$B$5:$B$7,MATCH(D123,Harga!$A$5:$A$7,0)),""))</f>
        <v/>
      </c>
      <c r="G123" s="12" t="str">
        <f aca="false">IF(OR(E123="",F123=""),"",E123*F123)</f>
        <v/>
      </c>
      <c r="H123" s="10"/>
      <c r="I123" s="10"/>
    </row>
    <row r="124" customFormat="false" ht="15" hidden="false" customHeight="false" outlineLevel="0" collapsed="false">
      <c r="A124" s="8" t="str">
        <f aca="false">IF(C124="","",ROW()-5)</f>
        <v/>
      </c>
      <c r="B124" s="9"/>
      <c r="C124" s="10"/>
      <c r="D124" s="10"/>
      <c r="E124" s="11"/>
      <c r="F124" s="12" t="str">
        <f aca="false">IF(D124="","",IFERROR(INDEX(Harga!$B$5:$B$7,MATCH(D124,Harga!$A$5:$A$7,0)),""))</f>
        <v/>
      </c>
      <c r="G124" s="12" t="str">
        <f aca="false">IF(OR(E124="",F124=""),"",E124*F124)</f>
        <v/>
      </c>
      <c r="H124" s="10"/>
      <c r="I124" s="10"/>
    </row>
    <row r="125" customFormat="false" ht="15" hidden="false" customHeight="false" outlineLevel="0" collapsed="false">
      <c r="A125" s="8" t="str">
        <f aca="false">IF(C125="","",ROW()-5)</f>
        <v/>
      </c>
      <c r="B125" s="9"/>
      <c r="C125" s="10"/>
      <c r="D125" s="10"/>
      <c r="E125" s="11"/>
      <c r="F125" s="12" t="str">
        <f aca="false">IF(D125="","",IFERROR(INDEX(Harga!$B$5:$B$7,MATCH(D125,Harga!$A$5:$A$7,0)),""))</f>
        <v/>
      </c>
      <c r="G125" s="12" t="str">
        <f aca="false">IF(OR(E125="",F125=""),"",E125*F125)</f>
        <v/>
      </c>
      <c r="H125" s="10"/>
      <c r="I125" s="10"/>
    </row>
    <row r="126" customFormat="false" ht="15" hidden="false" customHeight="false" outlineLevel="0" collapsed="false">
      <c r="A126" s="8" t="str">
        <f aca="false">IF(C126="","",ROW()-5)</f>
        <v/>
      </c>
      <c r="B126" s="9"/>
      <c r="C126" s="10"/>
      <c r="D126" s="10"/>
      <c r="E126" s="11"/>
      <c r="F126" s="12" t="str">
        <f aca="false">IF(D126="","",IFERROR(INDEX(Harga!$B$5:$B$7,MATCH(D126,Harga!$A$5:$A$7,0)),""))</f>
        <v/>
      </c>
      <c r="G126" s="12" t="str">
        <f aca="false">IF(OR(E126="",F126=""),"",E126*F126)</f>
        <v/>
      </c>
      <c r="H126" s="10"/>
      <c r="I126" s="10"/>
    </row>
    <row r="127" customFormat="false" ht="15" hidden="false" customHeight="false" outlineLevel="0" collapsed="false">
      <c r="A127" s="8" t="str">
        <f aca="false">IF(C127="","",ROW()-5)</f>
        <v/>
      </c>
      <c r="B127" s="9"/>
      <c r="C127" s="10"/>
      <c r="D127" s="10"/>
      <c r="E127" s="11"/>
      <c r="F127" s="12" t="str">
        <f aca="false">IF(D127="","",IFERROR(INDEX(Harga!$B$5:$B$7,MATCH(D127,Harga!$A$5:$A$7,0)),""))</f>
        <v/>
      </c>
      <c r="G127" s="12" t="str">
        <f aca="false">IF(OR(E127="",F127=""),"",E127*F127)</f>
        <v/>
      </c>
      <c r="H127" s="10"/>
      <c r="I127" s="10"/>
    </row>
    <row r="128" customFormat="false" ht="15" hidden="false" customHeight="false" outlineLevel="0" collapsed="false">
      <c r="A128" s="8" t="str">
        <f aca="false">IF(C128="","",ROW()-5)</f>
        <v/>
      </c>
      <c r="B128" s="9"/>
      <c r="C128" s="10"/>
      <c r="D128" s="10"/>
      <c r="E128" s="11"/>
      <c r="F128" s="12" t="str">
        <f aca="false">IF(D128="","",IFERROR(INDEX(Harga!$B$5:$B$7,MATCH(D128,Harga!$A$5:$A$7,0)),""))</f>
        <v/>
      </c>
      <c r="G128" s="12" t="str">
        <f aca="false">IF(OR(E128="",F128=""),"",E128*F128)</f>
        <v/>
      </c>
      <c r="H128" s="10"/>
      <c r="I128" s="10"/>
    </row>
    <row r="129" customFormat="false" ht="15" hidden="false" customHeight="false" outlineLevel="0" collapsed="false">
      <c r="A129" s="8" t="str">
        <f aca="false">IF(C129="","",ROW()-5)</f>
        <v/>
      </c>
      <c r="B129" s="9"/>
      <c r="C129" s="10"/>
      <c r="D129" s="10"/>
      <c r="E129" s="11"/>
      <c r="F129" s="12" t="str">
        <f aca="false">IF(D129="","",IFERROR(INDEX(Harga!$B$5:$B$7,MATCH(D129,Harga!$A$5:$A$7,0)),""))</f>
        <v/>
      </c>
      <c r="G129" s="12" t="str">
        <f aca="false">IF(OR(E129="",F129=""),"",E129*F129)</f>
        <v/>
      </c>
      <c r="H129" s="10"/>
      <c r="I129" s="10"/>
    </row>
    <row r="130" customFormat="false" ht="15" hidden="false" customHeight="false" outlineLevel="0" collapsed="false">
      <c r="A130" s="8" t="str">
        <f aca="false">IF(C130="","",ROW()-5)</f>
        <v/>
      </c>
      <c r="B130" s="9"/>
      <c r="C130" s="10"/>
      <c r="D130" s="10"/>
      <c r="E130" s="11"/>
      <c r="F130" s="12" t="str">
        <f aca="false">IF(D130="","",IFERROR(INDEX(Harga!$B$5:$B$7,MATCH(D130,Harga!$A$5:$A$7,0)),""))</f>
        <v/>
      </c>
      <c r="G130" s="12" t="str">
        <f aca="false">IF(OR(E130="",F130=""),"",E130*F130)</f>
        <v/>
      </c>
      <c r="H130" s="10"/>
      <c r="I130" s="10"/>
    </row>
    <row r="131" customFormat="false" ht="15" hidden="false" customHeight="false" outlineLevel="0" collapsed="false">
      <c r="A131" s="8" t="str">
        <f aca="false">IF(C131="","",ROW()-5)</f>
        <v/>
      </c>
      <c r="B131" s="9"/>
      <c r="C131" s="10"/>
      <c r="D131" s="10"/>
      <c r="E131" s="11"/>
      <c r="F131" s="12" t="str">
        <f aca="false">IF(D131="","",IFERROR(INDEX(Harga!$B$5:$B$7,MATCH(D131,Harga!$A$5:$A$7,0)),""))</f>
        <v/>
      </c>
      <c r="G131" s="12" t="str">
        <f aca="false">IF(OR(E131="",F131=""),"",E131*F131)</f>
        <v/>
      </c>
      <c r="H131" s="10"/>
      <c r="I131" s="10"/>
    </row>
    <row r="132" customFormat="false" ht="15" hidden="false" customHeight="false" outlineLevel="0" collapsed="false">
      <c r="A132" s="8" t="str">
        <f aca="false">IF(C132="","",ROW()-5)</f>
        <v/>
      </c>
      <c r="B132" s="9"/>
      <c r="C132" s="10"/>
      <c r="D132" s="10"/>
      <c r="E132" s="11"/>
      <c r="F132" s="12" t="str">
        <f aca="false">IF(D132="","",IFERROR(INDEX(Harga!$B$5:$B$7,MATCH(D132,Harga!$A$5:$A$7,0)),""))</f>
        <v/>
      </c>
      <c r="G132" s="12" t="str">
        <f aca="false">IF(OR(E132="",F132=""),"",E132*F132)</f>
        <v/>
      </c>
      <c r="H132" s="10"/>
      <c r="I132" s="10"/>
    </row>
    <row r="133" customFormat="false" ht="15" hidden="false" customHeight="false" outlineLevel="0" collapsed="false">
      <c r="A133" s="8" t="str">
        <f aca="false">IF(C133="","",ROW()-5)</f>
        <v/>
      </c>
      <c r="B133" s="9"/>
      <c r="C133" s="10"/>
      <c r="D133" s="10"/>
      <c r="E133" s="11"/>
      <c r="F133" s="12" t="str">
        <f aca="false">IF(D133="","",IFERROR(INDEX(Harga!$B$5:$B$7,MATCH(D133,Harga!$A$5:$A$7,0)),""))</f>
        <v/>
      </c>
      <c r="G133" s="12" t="str">
        <f aca="false">IF(OR(E133="",F133=""),"",E133*F133)</f>
        <v/>
      </c>
      <c r="H133" s="10"/>
      <c r="I133" s="10"/>
    </row>
    <row r="134" customFormat="false" ht="15" hidden="false" customHeight="false" outlineLevel="0" collapsed="false">
      <c r="A134" s="8" t="str">
        <f aca="false">IF(C134="","",ROW()-5)</f>
        <v/>
      </c>
      <c r="B134" s="9"/>
      <c r="C134" s="10"/>
      <c r="D134" s="10"/>
      <c r="E134" s="11"/>
      <c r="F134" s="12" t="str">
        <f aca="false">IF(D134="","",IFERROR(INDEX(Harga!$B$5:$B$7,MATCH(D134,Harga!$A$5:$A$7,0)),""))</f>
        <v/>
      </c>
      <c r="G134" s="12" t="str">
        <f aca="false">IF(OR(E134="",F134=""),"",E134*F134)</f>
        <v/>
      </c>
      <c r="H134" s="10"/>
      <c r="I134" s="10"/>
    </row>
    <row r="135" customFormat="false" ht="15" hidden="false" customHeight="false" outlineLevel="0" collapsed="false">
      <c r="A135" s="8" t="str">
        <f aca="false">IF(C135="","",ROW()-5)</f>
        <v/>
      </c>
      <c r="B135" s="9"/>
      <c r="C135" s="10"/>
      <c r="D135" s="10"/>
      <c r="E135" s="11"/>
      <c r="F135" s="12" t="str">
        <f aca="false">IF(D135="","",IFERROR(INDEX(Harga!$B$5:$B$7,MATCH(D135,Harga!$A$5:$A$7,0)),""))</f>
        <v/>
      </c>
      <c r="G135" s="12" t="str">
        <f aca="false">IF(OR(E135="",F135=""),"",E135*F135)</f>
        <v/>
      </c>
      <c r="H135" s="10"/>
      <c r="I135" s="10"/>
    </row>
    <row r="136" customFormat="false" ht="15" hidden="false" customHeight="false" outlineLevel="0" collapsed="false">
      <c r="A136" s="8" t="str">
        <f aca="false">IF(C136="","",ROW()-5)</f>
        <v/>
      </c>
      <c r="B136" s="9"/>
      <c r="C136" s="10"/>
      <c r="D136" s="10"/>
      <c r="E136" s="11"/>
      <c r="F136" s="12" t="str">
        <f aca="false">IF(D136="","",IFERROR(INDEX(Harga!$B$5:$B$7,MATCH(D136,Harga!$A$5:$A$7,0)),""))</f>
        <v/>
      </c>
      <c r="G136" s="12" t="str">
        <f aca="false">IF(OR(E136="",F136=""),"",E136*F136)</f>
        <v/>
      </c>
      <c r="H136" s="10"/>
      <c r="I136" s="10"/>
    </row>
    <row r="137" customFormat="false" ht="15" hidden="false" customHeight="false" outlineLevel="0" collapsed="false">
      <c r="A137" s="8" t="str">
        <f aca="false">IF(C137="","",ROW()-5)</f>
        <v/>
      </c>
      <c r="B137" s="9"/>
      <c r="C137" s="10"/>
      <c r="D137" s="10"/>
      <c r="E137" s="11"/>
      <c r="F137" s="12" t="str">
        <f aca="false">IF(D137="","",IFERROR(INDEX(Harga!$B$5:$B$7,MATCH(D137,Harga!$A$5:$A$7,0)),""))</f>
        <v/>
      </c>
      <c r="G137" s="12" t="str">
        <f aca="false">IF(OR(E137="",F137=""),"",E137*F137)</f>
        <v/>
      </c>
      <c r="H137" s="10"/>
      <c r="I137" s="10"/>
    </row>
    <row r="138" customFormat="false" ht="15" hidden="false" customHeight="false" outlineLevel="0" collapsed="false">
      <c r="A138" s="8" t="str">
        <f aca="false">IF(C138="","",ROW()-5)</f>
        <v/>
      </c>
      <c r="B138" s="9"/>
      <c r="C138" s="10"/>
      <c r="D138" s="10"/>
      <c r="E138" s="11"/>
      <c r="F138" s="12" t="str">
        <f aca="false">IF(D138="","",IFERROR(INDEX(Harga!$B$5:$B$7,MATCH(D138,Harga!$A$5:$A$7,0)),""))</f>
        <v/>
      </c>
      <c r="G138" s="12" t="str">
        <f aca="false">IF(OR(E138="",F138=""),"",E138*F138)</f>
        <v/>
      </c>
      <c r="H138" s="10"/>
      <c r="I138" s="10"/>
    </row>
    <row r="139" customFormat="false" ht="15" hidden="false" customHeight="false" outlineLevel="0" collapsed="false">
      <c r="A139" s="8" t="str">
        <f aca="false">IF(C139="","",ROW()-5)</f>
        <v/>
      </c>
      <c r="B139" s="9"/>
      <c r="C139" s="10"/>
      <c r="D139" s="10"/>
      <c r="E139" s="11"/>
      <c r="F139" s="12" t="str">
        <f aca="false">IF(D139="","",IFERROR(INDEX(Harga!$B$5:$B$7,MATCH(D139,Harga!$A$5:$A$7,0)),""))</f>
        <v/>
      </c>
      <c r="G139" s="12" t="str">
        <f aca="false">IF(OR(E139="",F139=""),"",E139*F139)</f>
        <v/>
      </c>
      <c r="H139" s="10"/>
      <c r="I139" s="10"/>
    </row>
    <row r="140" customFormat="false" ht="15" hidden="false" customHeight="false" outlineLevel="0" collapsed="false">
      <c r="A140" s="8" t="str">
        <f aca="false">IF(C140="","",ROW()-5)</f>
        <v/>
      </c>
      <c r="B140" s="9"/>
      <c r="C140" s="10"/>
      <c r="D140" s="10"/>
      <c r="E140" s="11"/>
      <c r="F140" s="12" t="str">
        <f aca="false">IF(D140="","",IFERROR(INDEX(Harga!$B$5:$B$7,MATCH(D140,Harga!$A$5:$A$7,0)),""))</f>
        <v/>
      </c>
      <c r="G140" s="12" t="str">
        <f aca="false">IF(OR(E140="",F140=""),"",E140*F140)</f>
        <v/>
      </c>
      <c r="H140" s="10"/>
      <c r="I140" s="10"/>
    </row>
    <row r="141" customFormat="false" ht="15" hidden="false" customHeight="false" outlineLevel="0" collapsed="false">
      <c r="A141" s="8" t="str">
        <f aca="false">IF(C141="","",ROW()-5)</f>
        <v/>
      </c>
      <c r="B141" s="9"/>
      <c r="C141" s="10"/>
      <c r="D141" s="10"/>
      <c r="E141" s="11"/>
      <c r="F141" s="12" t="str">
        <f aca="false">IF(D141="","",IFERROR(INDEX(Harga!$B$5:$B$7,MATCH(D141,Harga!$A$5:$A$7,0)),""))</f>
        <v/>
      </c>
      <c r="G141" s="12" t="str">
        <f aca="false">IF(OR(E141="",F141=""),"",E141*F141)</f>
        <v/>
      </c>
      <c r="H141" s="10"/>
      <c r="I141" s="10"/>
    </row>
    <row r="142" customFormat="false" ht="15" hidden="false" customHeight="false" outlineLevel="0" collapsed="false">
      <c r="A142" s="8" t="str">
        <f aca="false">IF(C142="","",ROW()-5)</f>
        <v/>
      </c>
      <c r="B142" s="9"/>
      <c r="C142" s="10"/>
      <c r="D142" s="10"/>
      <c r="E142" s="11"/>
      <c r="F142" s="12" t="str">
        <f aca="false">IF(D142="","",IFERROR(INDEX(Harga!$B$5:$B$7,MATCH(D142,Harga!$A$5:$A$7,0)),""))</f>
        <v/>
      </c>
      <c r="G142" s="12" t="str">
        <f aca="false">IF(OR(E142="",F142=""),"",E142*F142)</f>
        <v/>
      </c>
      <c r="H142" s="10"/>
      <c r="I142" s="10"/>
    </row>
    <row r="143" customFormat="false" ht="15" hidden="false" customHeight="false" outlineLevel="0" collapsed="false">
      <c r="A143" s="8" t="str">
        <f aca="false">IF(C143="","",ROW()-5)</f>
        <v/>
      </c>
      <c r="B143" s="9"/>
      <c r="C143" s="10"/>
      <c r="D143" s="10"/>
      <c r="E143" s="11"/>
      <c r="F143" s="12" t="str">
        <f aca="false">IF(D143="","",IFERROR(INDEX(Harga!$B$5:$B$7,MATCH(D143,Harga!$A$5:$A$7,0)),""))</f>
        <v/>
      </c>
      <c r="G143" s="12" t="str">
        <f aca="false">IF(OR(E143="",F143=""),"",E143*F143)</f>
        <v/>
      </c>
      <c r="H143" s="10"/>
      <c r="I143" s="10"/>
    </row>
    <row r="144" customFormat="false" ht="15" hidden="false" customHeight="false" outlineLevel="0" collapsed="false">
      <c r="A144" s="8" t="str">
        <f aca="false">IF(C144="","",ROW()-5)</f>
        <v/>
      </c>
      <c r="B144" s="9"/>
      <c r="C144" s="10"/>
      <c r="D144" s="10"/>
      <c r="E144" s="11"/>
      <c r="F144" s="12" t="str">
        <f aca="false">IF(D144="","",IFERROR(INDEX(Harga!$B$5:$B$7,MATCH(D144,Harga!$A$5:$A$7,0)),""))</f>
        <v/>
      </c>
      <c r="G144" s="12" t="str">
        <f aca="false">IF(OR(E144="",F144=""),"",E144*F144)</f>
        <v/>
      </c>
      <c r="H144" s="10"/>
      <c r="I144" s="10"/>
    </row>
    <row r="145" customFormat="false" ht="15" hidden="false" customHeight="false" outlineLevel="0" collapsed="false">
      <c r="A145" s="8" t="str">
        <f aca="false">IF(C145="","",ROW()-5)</f>
        <v/>
      </c>
      <c r="B145" s="9"/>
      <c r="C145" s="10"/>
      <c r="D145" s="10"/>
      <c r="E145" s="11"/>
      <c r="F145" s="12" t="str">
        <f aca="false">IF(D145="","",IFERROR(INDEX(Harga!$B$5:$B$7,MATCH(D145,Harga!$A$5:$A$7,0)),""))</f>
        <v/>
      </c>
      <c r="G145" s="12" t="str">
        <f aca="false">IF(OR(E145="",F145=""),"",E145*F145)</f>
        <v/>
      </c>
      <c r="H145" s="10"/>
      <c r="I145" s="10"/>
    </row>
    <row r="146" customFormat="false" ht="15" hidden="false" customHeight="false" outlineLevel="0" collapsed="false">
      <c r="A146" s="8" t="str">
        <f aca="false">IF(C146="","",ROW()-5)</f>
        <v/>
      </c>
      <c r="B146" s="9"/>
      <c r="C146" s="10"/>
      <c r="D146" s="10"/>
      <c r="E146" s="11"/>
      <c r="F146" s="12" t="str">
        <f aca="false">IF(D146="","",IFERROR(INDEX(Harga!$B$5:$B$7,MATCH(D146,Harga!$A$5:$A$7,0)),""))</f>
        <v/>
      </c>
      <c r="G146" s="12" t="str">
        <f aca="false">IF(OR(E146="",F146=""),"",E146*F146)</f>
        <v/>
      </c>
      <c r="H146" s="10"/>
      <c r="I146" s="10"/>
    </row>
    <row r="147" customFormat="false" ht="15" hidden="false" customHeight="false" outlineLevel="0" collapsed="false">
      <c r="A147" s="8" t="str">
        <f aca="false">IF(C147="","",ROW()-5)</f>
        <v/>
      </c>
      <c r="B147" s="9"/>
      <c r="C147" s="10"/>
      <c r="D147" s="10"/>
      <c r="E147" s="11"/>
      <c r="F147" s="12" t="str">
        <f aca="false">IF(D147="","",IFERROR(INDEX(Harga!$B$5:$B$7,MATCH(D147,Harga!$A$5:$A$7,0)),""))</f>
        <v/>
      </c>
      <c r="G147" s="12" t="str">
        <f aca="false">IF(OR(E147="",F147=""),"",E147*F147)</f>
        <v/>
      </c>
      <c r="H147" s="10"/>
      <c r="I147" s="10"/>
    </row>
    <row r="148" customFormat="false" ht="15" hidden="false" customHeight="false" outlineLevel="0" collapsed="false">
      <c r="A148" s="8" t="str">
        <f aca="false">IF(C148="","",ROW()-5)</f>
        <v/>
      </c>
      <c r="B148" s="9"/>
      <c r="C148" s="10"/>
      <c r="D148" s="10"/>
      <c r="E148" s="11"/>
      <c r="F148" s="12" t="str">
        <f aca="false">IF(D148="","",IFERROR(INDEX(Harga!$B$5:$B$7,MATCH(D148,Harga!$A$5:$A$7,0)),""))</f>
        <v/>
      </c>
      <c r="G148" s="12" t="str">
        <f aca="false">IF(OR(E148="",F148=""),"",E148*F148)</f>
        <v/>
      </c>
      <c r="H148" s="10"/>
      <c r="I148" s="10"/>
    </row>
    <row r="149" customFormat="false" ht="15" hidden="false" customHeight="false" outlineLevel="0" collapsed="false">
      <c r="A149" s="8" t="str">
        <f aca="false">IF(C149="","",ROW()-5)</f>
        <v/>
      </c>
      <c r="B149" s="9"/>
      <c r="C149" s="10"/>
      <c r="D149" s="10"/>
      <c r="E149" s="11"/>
      <c r="F149" s="12" t="str">
        <f aca="false">IF(D149="","",IFERROR(INDEX(Harga!$B$5:$B$7,MATCH(D149,Harga!$A$5:$A$7,0)),""))</f>
        <v/>
      </c>
      <c r="G149" s="12" t="str">
        <f aca="false">IF(OR(E149="",F149=""),"",E149*F149)</f>
        <v/>
      </c>
      <c r="H149" s="10"/>
      <c r="I149" s="10"/>
    </row>
    <row r="150" customFormat="false" ht="15" hidden="false" customHeight="false" outlineLevel="0" collapsed="false">
      <c r="A150" s="8" t="str">
        <f aca="false">IF(C150="","",ROW()-5)</f>
        <v/>
      </c>
      <c r="B150" s="9"/>
      <c r="C150" s="10"/>
      <c r="D150" s="10"/>
      <c r="E150" s="11"/>
      <c r="F150" s="12" t="str">
        <f aca="false">IF(D150="","",IFERROR(INDEX(Harga!$B$5:$B$7,MATCH(D150,Harga!$A$5:$A$7,0)),""))</f>
        <v/>
      </c>
      <c r="G150" s="12" t="str">
        <f aca="false">IF(OR(E150="",F150=""),"",E150*F150)</f>
        <v/>
      </c>
      <c r="H150" s="10"/>
      <c r="I150" s="10"/>
    </row>
    <row r="151" customFormat="false" ht="15" hidden="false" customHeight="false" outlineLevel="0" collapsed="false">
      <c r="A151" s="8" t="str">
        <f aca="false">IF(C151="","",ROW()-5)</f>
        <v/>
      </c>
      <c r="B151" s="9"/>
      <c r="C151" s="10"/>
      <c r="D151" s="10"/>
      <c r="E151" s="11"/>
      <c r="F151" s="12" t="str">
        <f aca="false">IF(D151="","",IFERROR(INDEX(Harga!$B$5:$B$7,MATCH(D151,Harga!$A$5:$A$7,0)),""))</f>
        <v/>
      </c>
      <c r="G151" s="12" t="str">
        <f aca="false">IF(OR(E151="",F151=""),"",E151*F151)</f>
        <v/>
      </c>
      <c r="H151" s="10"/>
      <c r="I151" s="10"/>
    </row>
    <row r="152" customFormat="false" ht="15" hidden="false" customHeight="false" outlineLevel="0" collapsed="false">
      <c r="A152" s="8" t="str">
        <f aca="false">IF(C152="","",ROW()-5)</f>
        <v/>
      </c>
      <c r="B152" s="9"/>
      <c r="C152" s="10"/>
      <c r="D152" s="10"/>
      <c r="E152" s="11"/>
      <c r="F152" s="12" t="str">
        <f aca="false">IF(D152="","",IFERROR(INDEX(Harga!$B$5:$B$7,MATCH(D152,Harga!$A$5:$A$7,0)),""))</f>
        <v/>
      </c>
      <c r="G152" s="12" t="str">
        <f aca="false">IF(OR(E152="",F152=""),"",E152*F152)</f>
        <v/>
      </c>
      <c r="H152" s="10"/>
      <c r="I152" s="10"/>
    </row>
    <row r="153" customFormat="false" ht="15" hidden="false" customHeight="false" outlineLevel="0" collapsed="false">
      <c r="A153" s="8" t="str">
        <f aca="false">IF(C153="","",ROW()-5)</f>
        <v/>
      </c>
      <c r="B153" s="9"/>
      <c r="C153" s="10"/>
      <c r="D153" s="10"/>
      <c r="E153" s="11"/>
      <c r="F153" s="12" t="str">
        <f aca="false">IF(D153="","",IFERROR(INDEX(Harga!$B$5:$B$7,MATCH(D153,Harga!$A$5:$A$7,0)),""))</f>
        <v/>
      </c>
      <c r="G153" s="12" t="str">
        <f aca="false">IF(OR(E153="",F153=""),"",E153*F153)</f>
        <v/>
      </c>
      <c r="H153" s="10"/>
      <c r="I153" s="10"/>
    </row>
    <row r="154" customFormat="false" ht="15" hidden="false" customHeight="false" outlineLevel="0" collapsed="false">
      <c r="A154" s="8" t="str">
        <f aca="false">IF(C154="","",ROW()-5)</f>
        <v/>
      </c>
      <c r="B154" s="9"/>
      <c r="C154" s="10"/>
      <c r="D154" s="10"/>
      <c r="E154" s="11"/>
      <c r="F154" s="12" t="str">
        <f aca="false">IF(D154="","",IFERROR(INDEX(Harga!$B$5:$B$7,MATCH(D154,Harga!$A$5:$A$7,0)),""))</f>
        <v/>
      </c>
      <c r="G154" s="12" t="str">
        <f aca="false">IF(OR(E154="",F154=""),"",E154*F154)</f>
        <v/>
      </c>
      <c r="H154" s="10"/>
      <c r="I154" s="10"/>
    </row>
    <row r="155" customFormat="false" ht="15" hidden="false" customHeight="false" outlineLevel="0" collapsed="false">
      <c r="A155" s="8" t="str">
        <f aca="false">IF(C155="","",ROW()-5)</f>
        <v/>
      </c>
      <c r="B155" s="9"/>
      <c r="C155" s="10"/>
      <c r="D155" s="10"/>
      <c r="E155" s="11"/>
      <c r="F155" s="12" t="str">
        <f aca="false">IF(D155="","",IFERROR(INDEX(Harga!$B$5:$B$7,MATCH(D155,Harga!$A$5:$A$7,0)),""))</f>
        <v/>
      </c>
      <c r="G155" s="12" t="str">
        <f aca="false">IF(OR(E155="",F155=""),"",E155*F155)</f>
        <v/>
      </c>
      <c r="H155" s="10"/>
      <c r="I155" s="10"/>
    </row>
    <row r="156" customFormat="false" ht="15" hidden="false" customHeight="false" outlineLevel="0" collapsed="false">
      <c r="A156" s="8" t="str">
        <f aca="false">IF(C156="","",ROW()-5)</f>
        <v/>
      </c>
      <c r="B156" s="9"/>
      <c r="C156" s="10"/>
      <c r="D156" s="10"/>
      <c r="E156" s="11"/>
      <c r="F156" s="12" t="str">
        <f aca="false">IF(D156="","",IFERROR(INDEX(Harga!$B$5:$B$7,MATCH(D156,Harga!$A$5:$A$7,0)),""))</f>
        <v/>
      </c>
      <c r="G156" s="12" t="str">
        <f aca="false">IF(OR(E156="",F156=""),"",E156*F156)</f>
        <v/>
      </c>
      <c r="H156" s="10"/>
      <c r="I156" s="10"/>
    </row>
    <row r="157" customFormat="false" ht="15" hidden="false" customHeight="false" outlineLevel="0" collapsed="false">
      <c r="A157" s="8" t="str">
        <f aca="false">IF(C157="","",ROW()-5)</f>
        <v/>
      </c>
      <c r="B157" s="9"/>
      <c r="C157" s="10"/>
      <c r="D157" s="10"/>
      <c r="E157" s="11"/>
      <c r="F157" s="12" t="str">
        <f aca="false">IF(D157="","",IFERROR(INDEX(Harga!$B$5:$B$7,MATCH(D157,Harga!$A$5:$A$7,0)),""))</f>
        <v/>
      </c>
      <c r="G157" s="12" t="str">
        <f aca="false">IF(OR(E157="",F157=""),"",E157*F157)</f>
        <v/>
      </c>
      <c r="H157" s="10"/>
      <c r="I157" s="10"/>
    </row>
    <row r="158" customFormat="false" ht="15" hidden="false" customHeight="false" outlineLevel="0" collapsed="false">
      <c r="A158" s="8" t="str">
        <f aca="false">IF(C158="","",ROW()-5)</f>
        <v/>
      </c>
      <c r="B158" s="9"/>
      <c r="C158" s="10"/>
      <c r="D158" s="10"/>
      <c r="E158" s="11"/>
      <c r="F158" s="12" t="str">
        <f aca="false">IF(D158="","",IFERROR(INDEX(Harga!$B$5:$B$7,MATCH(D158,Harga!$A$5:$A$7,0)),""))</f>
        <v/>
      </c>
      <c r="G158" s="12" t="str">
        <f aca="false">IF(OR(E158="",F158=""),"",E158*F158)</f>
        <v/>
      </c>
      <c r="H158" s="10"/>
      <c r="I158" s="10"/>
    </row>
    <row r="159" customFormat="false" ht="15" hidden="false" customHeight="false" outlineLevel="0" collapsed="false">
      <c r="A159" s="8" t="str">
        <f aca="false">IF(C159="","",ROW()-5)</f>
        <v/>
      </c>
      <c r="B159" s="9"/>
      <c r="C159" s="10"/>
      <c r="D159" s="10"/>
      <c r="E159" s="11"/>
      <c r="F159" s="12" t="str">
        <f aca="false">IF(D159="","",IFERROR(INDEX(Harga!$B$5:$B$7,MATCH(D159,Harga!$A$5:$A$7,0)),""))</f>
        <v/>
      </c>
      <c r="G159" s="12" t="str">
        <f aca="false">IF(OR(E159="",F159=""),"",E159*F159)</f>
        <v/>
      </c>
      <c r="H159" s="10"/>
      <c r="I159" s="10"/>
    </row>
    <row r="160" customFormat="false" ht="15" hidden="false" customHeight="false" outlineLevel="0" collapsed="false">
      <c r="A160" s="8" t="str">
        <f aca="false">IF(C160="","",ROW()-5)</f>
        <v/>
      </c>
      <c r="B160" s="9"/>
      <c r="C160" s="10"/>
      <c r="D160" s="10"/>
      <c r="E160" s="11"/>
      <c r="F160" s="12" t="str">
        <f aca="false">IF(D160="","",IFERROR(INDEX(Harga!$B$5:$B$7,MATCH(D160,Harga!$A$5:$A$7,0)),""))</f>
        <v/>
      </c>
      <c r="G160" s="12" t="str">
        <f aca="false">IF(OR(E160="",F160=""),"",E160*F160)</f>
        <v/>
      </c>
      <c r="H160" s="10"/>
      <c r="I160" s="10"/>
    </row>
    <row r="161" customFormat="false" ht="15" hidden="false" customHeight="false" outlineLevel="0" collapsed="false">
      <c r="A161" s="8" t="str">
        <f aca="false">IF(C161="","",ROW()-5)</f>
        <v/>
      </c>
      <c r="B161" s="9"/>
      <c r="C161" s="10"/>
      <c r="D161" s="10"/>
      <c r="E161" s="11"/>
      <c r="F161" s="12" t="str">
        <f aca="false">IF(D161="","",IFERROR(INDEX(Harga!$B$5:$B$7,MATCH(D161,Harga!$A$5:$A$7,0)),""))</f>
        <v/>
      </c>
      <c r="G161" s="12" t="str">
        <f aca="false">IF(OR(E161="",F161=""),"",E161*F161)</f>
        <v/>
      </c>
      <c r="H161" s="10"/>
      <c r="I161" s="10"/>
    </row>
    <row r="162" customFormat="false" ht="15" hidden="false" customHeight="false" outlineLevel="0" collapsed="false">
      <c r="A162" s="8" t="str">
        <f aca="false">IF(C162="","",ROW()-5)</f>
        <v/>
      </c>
      <c r="B162" s="9"/>
      <c r="C162" s="10"/>
      <c r="D162" s="10"/>
      <c r="E162" s="11"/>
      <c r="F162" s="12" t="str">
        <f aca="false">IF(D162="","",IFERROR(INDEX(Harga!$B$5:$B$7,MATCH(D162,Harga!$A$5:$A$7,0)),""))</f>
        <v/>
      </c>
      <c r="G162" s="12" t="str">
        <f aca="false">IF(OR(E162="",F162=""),"",E162*F162)</f>
        <v/>
      </c>
      <c r="H162" s="10"/>
      <c r="I162" s="10"/>
    </row>
    <row r="163" customFormat="false" ht="15" hidden="false" customHeight="false" outlineLevel="0" collapsed="false">
      <c r="A163" s="8" t="str">
        <f aca="false">IF(C163="","",ROW()-5)</f>
        <v/>
      </c>
      <c r="B163" s="9"/>
      <c r="C163" s="10"/>
      <c r="D163" s="10"/>
      <c r="E163" s="11"/>
      <c r="F163" s="12" t="str">
        <f aca="false">IF(D163="","",IFERROR(INDEX(Harga!$B$5:$B$7,MATCH(D163,Harga!$A$5:$A$7,0)),""))</f>
        <v/>
      </c>
      <c r="G163" s="12" t="str">
        <f aca="false">IF(OR(E163="",F163=""),"",E163*F163)</f>
        <v/>
      </c>
      <c r="H163" s="10"/>
      <c r="I163" s="10"/>
    </row>
    <row r="164" customFormat="false" ht="15" hidden="false" customHeight="false" outlineLevel="0" collapsed="false">
      <c r="A164" s="8" t="str">
        <f aca="false">IF(C164="","",ROW()-5)</f>
        <v/>
      </c>
      <c r="B164" s="9"/>
      <c r="C164" s="10"/>
      <c r="D164" s="10"/>
      <c r="E164" s="11"/>
      <c r="F164" s="12" t="str">
        <f aca="false">IF(D164="","",IFERROR(INDEX(Harga!$B$5:$B$7,MATCH(D164,Harga!$A$5:$A$7,0)),""))</f>
        <v/>
      </c>
      <c r="G164" s="12" t="str">
        <f aca="false">IF(OR(E164="",F164=""),"",E164*F164)</f>
        <v/>
      </c>
      <c r="H164" s="10"/>
      <c r="I164" s="10"/>
    </row>
    <row r="165" customFormat="false" ht="15" hidden="false" customHeight="false" outlineLevel="0" collapsed="false">
      <c r="A165" s="8" t="str">
        <f aca="false">IF(C165="","",ROW()-5)</f>
        <v/>
      </c>
      <c r="B165" s="9"/>
      <c r="C165" s="10"/>
      <c r="D165" s="10"/>
      <c r="E165" s="11"/>
      <c r="F165" s="12" t="str">
        <f aca="false">IF(D165="","",IFERROR(INDEX(Harga!$B$5:$B$7,MATCH(D165,Harga!$A$5:$A$7,0)),""))</f>
        <v/>
      </c>
      <c r="G165" s="12" t="str">
        <f aca="false">IF(OR(E165="",F165=""),"",E165*F165)</f>
        <v/>
      </c>
      <c r="H165" s="10"/>
      <c r="I165" s="10"/>
    </row>
    <row r="166" customFormat="false" ht="15" hidden="false" customHeight="false" outlineLevel="0" collapsed="false">
      <c r="A166" s="8" t="str">
        <f aca="false">IF(C166="","",ROW()-5)</f>
        <v/>
      </c>
      <c r="B166" s="9"/>
      <c r="C166" s="10"/>
      <c r="D166" s="10"/>
      <c r="E166" s="11"/>
      <c r="F166" s="12" t="str">
        <f aca="false">IF(D166="","",IFERROR(INDEX(Harga!$B$5:$B$7,MATCH(D166,Harga!$A$5:$A$7,0)),""))</f>
        <v/>
      </c>
      <c r="G166" s="12" t="str">
        <f aca="false">IF(OR(E166="",F166=""),"",E166*F166)</f>
        <v/>
      </c>
      <c r="H166" s="10"/>
      <c r="I166" s="10"/>
    </row>
    <row r="167" customFormat="false" ht="15" hidden="false" customHeight="false" outlineLevel="0" collapsed="false">
      <c r="A167" s="8" t="str">
        <f aca="false">IF(C167="","",ROW()-5)</f>
        <v/>
      </c>
      <c r="B167" s="9"/>
      <c r="C167" s="10"/>
      <c r="D167" s="10"/>
      <c r="E167" s="11"/>
      <c r="F167" s="12" t="str">
        <f aca="false">IF(D167="","",IFERROR(INDEX(Harga!$B$5:$B$7,MATCH(D167,Harga!$A$5:$A$7,0)),""))</f>
        <v/>
      </c>
      <c r="G167" s="12" t="str">
        <f aca="false">IF(OR(E167="",F167=""),"",E167*F167)</f>
        <v/>
      </c>
      <c r="H167" s="10"/>
      <c r="I167" s="10"/>
    </row>
    <row r="168" customFormat="false" ht="15" hidden="false" customHeight="false" outlineLevel="0" collapsed="false">
      <c r="A168" s="8" t="str">
        <f aca="false">IF(C168="","",ROW()-5)</f>
        <v/>
      </c>
      <c r="B168" s="9"/>
      <c r="C168" s="10"/>
      <c r="D168" s="10"/>
      <c r="E168" s="11"/>
      <c r="F168" s="12" t="str">
        <f aca="false">IF(D168="","",IFERROR(INDEX(Harga!$B$5:$B$7,MATCH(D168,Harga!$A$5:$A$7,0)),""))</f>
        <v/>
      </c>
      <c r="G168" s="12" t="str">
        <f aca="false">IF(OR(E168="",F168=""),"",E168*F168)</f>
        <v/>
      </c>
      <c r="H168" s="10"/>
      <c r="I168" s="10"/>
    </row>
    <row r="169" customFormat="false" ht="15" hidden="false" customHeight="false" outlineLevel="0" collapsed="false">
      <c r="A169" s="8" t="str">
        <f aca="false">IF(C169="","",ROW()-5)</f>
        <v/>
      </c>
      <c r="B169" s="9"/>
      <c r="C169" s="10"/>
      <c r="D169" s="10"/>
      <c r="E169" s="11"/>
      <c r="F169" s="12" t="str">
        <f aca="false">IF(D169="","",IFERROR(INDEX(Harga!$B$5:$B$7,MATCH(D169,Harga!$A$5:$A$7,0)),""))</f>
        <v/>
      </c>
      <c r="G169" s="12" t="str">
        <f aca="false">IF(OR(E169="",F169=""),"",E169*F169)</f>
        <v/>
      </c>
      <c r="H169" s="10"/>
      <c r="I169" s="10"/>
    </row>
    <row r="170" customFormat="false" ht="15" hidden="false" customHeight="false" outlineLevel="0" collapsed="false">
      <c r="A170" s="8" t="str">
        <f aca="false">IF(C170="","",ROW()-5)</f>
        <v/>
      </c>
      <c r="B170" s="9"/>
      <c r="C170" s="10"/>
      <c r="D170" s="10"/>
      <c r="E170" s="11"/>
      <c r="F170" s="12" t="str">
        <f aca="false">IF(D170="","",IFERROR(INDEX(Harga!$B$5:$B$7,MATCH(D170,Harga!$A$5:$A$7,0)),""))</f>
        <v/>
      </c>
      <c r="G170" s="12" t="str">
        <f aca="false">IF(OR(E170="",F170=""),"",E170*F170)</f>
        <v/>
      </c>
      <c r="H170" s="10"/>
      <c r="I170" s="10"/>
    </row>
    <row r="171" customFormat="false" ht="15" hidden="false" customHeight="false" outlineLevel="0" collapsed="false">
      <c r="A171" s="8" t="str">
        <f aca="false">IF(C171="","",ROW()-5)</f>
        <v/>
      </c>
      <c r="B171" s="9"/>
      <c r="C171" s="10"/>
      <c r="D171" s="10"/>
      <c r="E171" s="11"/>
      <c r="F171" s="12" t="str">
        <f aca="false">IF(D171="","",IFERROR(INDEX(Harga!$B$5:$B$7,MATCH(D171,Harga!$A$5:$A$7,0)),""))</f>
        <v/>
      </c>
      <c r="G171" s="12" t="str">
        <f aca="false">IF(OR(E171="",F171=""),"",E171*F171)</f>
        <v/>
      </c>
      <c r="H171" s="10"/>
      <c r="I171" s="10"/>
    </row>
    <row r="172" customFormat="false" ht="15" hidden="false" customHeight="false" outlineLevel="0" collapsed="false">
      <c r="A172" s="8" t="str">
        <f aca="false">IF(C172="","",ROW()-5)</f>
        <v/>
      </c>
      <c r="B172" s="9"/>
      <c r="C172" s="10"/>
      <c r="D172" s="10"/>
      <c r="E172" s="11"/>
      <c r="F172" s="12" t="str">
        <f aca="false">IF(D172="","",IFERROR(INDEX(Harga!$B$5:$B$7,MATCH(D172,Harga!$A$5:$A$7,0)),""))</f>
        <v/>
      </c>
      <c r="G172" s="12" t="str">
        <f aca="false">IF(OR(E172="",F172=""),"",E172*F172)</f>
        <v/>
      </c>
      <c r="H172" s="10"/>
      <c r="I172" s="10"/>
    </row>
    <row r="173" customFormat="false" ht="15" hidden="false" customHeight="false" outlineLevel="0" collapsed="false">
      <c r="A173" s="8" t="str">
        <f aca="false">IF(C173="","",ROW()-5)</f>
        <v/>
      </c>
      <c r="B173" s="9"/>
      <c r="C173" s="10"/>
      <c r="D173" s="10"/>
      <c r="E173" s="11"/>
      <c r="F173" s="12" t="str">
        <f aca="false">IF(D173="","",IFERROR(INDEX(Harga!$B$5:$B$7,MATCH(D173,Harga!$A$5:$A$7,0)),""))</f>
        <v/>
      </c>
      <c r="G173" s="12" t="str">
        <f aca="false">IF(OR(E173="",F173=""),"",E173*F173)</f>
        <v/>
      </c>
      <c r="H173" s="10"/>
      <c r="I173" s="10"/>
    </row>
    <row r="174" customFormat="false" ht="15" hidden="false" customHeight="false" outlineLevel="0" collapsed="false">
      <c r="A174" s="8" t="str">
        <f aca="false">IF(C174="","",ROW()-5)</f>
        <v/>
      </c>
      <c r="B174" s="9"/>
      <c r="C174" s="10"/>
      <c r="D174" s="10"/>
      <c r="E174" s="11"/>
      <c r="F174" s="12" t="str">
        <f aca="false">IF(D174="","",IFERROR(INDEX(Harga!$B$5:$B$7,MATCH(D174,Harga!$A$5:$A$7,0)),""))</f>
        <v/>
      </c>
      <c r="G174" s="12" t="str">
        <f aca="false">IF(OR(E174="",F174=""),"",E174*F174)</f>
        <v/>
      </c>
      <c r="H174" s="10"/>
      <c r="I174" s="10"/>
    </row>
    <row r="175" customFormat="false" ht="15" hidden="false" customHeight="false" outlineLevel="0" collapsed="false">
      <c r="A175" s="8" t="str">
        <f aca="false">IF(C175="","",ROW()-5)</f>
        <v/>
      </c>
      <c r="B175" s="9"/>
      <c r="C175" s="10"/>
      <c r="D175" s="10"/>
      <c r="E175" s="11"/>
      <c r="F175" s="12" t="str">
        <f aca="false">IF(D175="","",IFERROR(INDEX(Harga!$B$5:$B$7,MATCH(D175,Harga!$A$5:$A$7,0)),""))</f>
        <v/>
      </c>
      <c r="G175" s="12" t="str">
        <f aca="false">IF(OR(E175="",F175=""),"",E175*F175)</f>
        <v/>
      </c>
      <c r="H175" s="10"/>
      <c r="I175" s="10"/>
    </row>
    <row r="176" customFormat="false" ht="15" hidden="false" customHeight="false" outlineLevel="0" collapsed="false">
      <c r="A176" s="8" t="str">
        <f aca="false">IF(C176="","",ROW()-5)</f>
        <v/>
      </c>
      <c r="B176" s="9"/>
      <c r="C176" s="10"/>
      <c r="D176" s="10"/>
      <c r="E176" s="11"/>
      <c r="F176" s="12" t="str">
        <f aca="false">IF(D176="","",IFERROR(INDEX(Harga!$B$5:$B$7,MATCH(D176,Harga!$A$5:$A$7,0)),""))</f>
        <v/>
      </c>
      <c r="G176" s="12" t="str">
        <f aca="false">IF(OR(E176="",F176=""),"",E176*F176)</f>
        <v/>
      </c>
      <c r="H176" s="10"/>
      <c r="I176" s="10"/>
    </row>
    <row r="177" customFormat="false" ht="15" hidden="false" customHeight="false" outlineLevel="0" collapsed="false">
      <c r="A177" s="8" t="str">
        <f aca="false">IF(C177="","",ROW()-5)</f>
        <v/>
      </c>
      <c r="B177" s="9"/>
      <c r="C177" s="10"/>
      <c r="D177" s="10"/>
      <c r="E177" s="11"/>
      <c r="F177" s="12" t="str">
        <f aca="false">IF(D177="","",IFERROR(INDEX(Harga!$B$5:$B$7,MATCH(D177,Harga!$A$5:$A$7,0)),""))</f>
        <v/>
      </c>
      <c r="G177" s="12" t="str">
        <f aca="false">IF(OR(E177="",F177=""),"",E177*F177)</f>
        <v/>
      </c>
      <c r="H177" s="10"/>
      <c r="I177" s="10"/>
    </row>
    <row r="178" customFormat="false" ht="15" hidden="false" customHeight="false" outlineLevel="0" collapsed="false">
      <c r="A178" s="8" t="str">
        <f aca="false">IF(C178="","",ROW()-5)</f>
        <v/>
      </c>
      <c r="B178" s="9"/>
      <c r="C178" s="10"/>
      <c r="D178" s="10"/>
      <c r="E178" s="11"/>
      <c r="F178" s="12" t="str">
        <f aca="false">IF(D178="","",IFERROR(INDEX(Harga!$B$5:$B$7,MATCH(D178,Harga!$A$5:$A$7,0)),""))</f>
        <v/>
      </c>
      <c r="G178" s="12" t="str">
        <f aca="false">IF(OR(E178="",F178=""),"",E178*F178)</f>
        <v/>
      </c>
      <c r="H178" s="10"/>
      <c r="I178" s="10"/>
    </row>
    <row r="179" customFormat="false" ht="15" hidden="false" customHeight="false" outlineLevel="0" collapsed="false">
      <c r="A179" s="8" t="str">
        <f aca="false">IF(C179="","",ROW()-5)</f>
        <v/>
      </c>
      <c r="B179" s="9"/>
      <c r="C179" s="10"/>
      <c r="D179" s="10"/>
      <c r="E179" s="11"/>
      <c r="F179" s="12" t="str">
        <f aca="false">IF(D179="","",IFERROR(INDEX(Harga!$B$5:$B$7,MATCH(D179,Harga!$A$5:$A$7,0)),""))</f>
        <v/>
      </c>
      <c r="G179" s="12" t="str">
        <f aca="false">IF(OR(E179="",F179=""),"",E179*F179)</f>
        <v/>
      </c>
      <c r="H179" s="10"/>
      <c r="I179" s="10"/>
    </row>
    <row r="180" customFormat="false" ht="15" hidden="false" customHeight="false" outlineLevel="0" collapsed="false">
      <c r="A180" s="8" t="str">
        <f aca="false">IF(C180="","",ROW()-5)</f>
        <v/>
      </c>
      <c r="B180" s="9"/>
      <c r="C180" s="10"/>
      <c r="D180" s="10"/>
      <c r="E180" s="11"/>
      <c r="F180" s="12" t="str">
        <f aca="false">IF(D180="","",IFERROR(INDEX(Harga!$B$5:$B$7,MATCH(D180,Harga!$A$5:$A$7,0)),""))</f>
        <v/>
      </c>
      <c r="G180" s="12" t="str">
        <f aca="false">IF(OR(E180="",F180=""),"",E180*F180)</f>
        <v/>
      </c>
      <c r="H180" s="10"/>
      <c r="I180" s="10"/>
    </row>
    <row r="181" customFormat="false" ht="15" hidden="false" customHeight="false" outlineLevel="0" collapsed="false">
      <c r="A181" s="8" t="str">
        <f aca="false">IF(C181="","",ROW()-5)</f>
        <v/>
      </c>
      <c r="B181" s="9"/>
      <c r="C181" s="10"/>
      <c r="D181" s="10"/>
      <c r="E181" s="11"/>
      <c r="F181" s="12" t="str">
        <f aca="false">IF(D181="","",IFERROR(INDEX(Harga!$B$5:$B$7,MATCH(D181,Harga!$A$5:$A$7,0)),""))</f>
        <v/>
      </c>
      <c r="G181" s="12" t="str">
        <f aca="false">IF(OR(E181="",F181=""),"",E181*F181)</f>
        <v/>
      </c>
      <c r="H181" s="10"/>
      <c r="I181" s="10"/>
    </row>
    <row r="182" customFormat="false" ht="15" hidden="false" customHeight="false" outlineLevel="0" collapsed="false">
      <c r="A182" s="8" t="str">
        <f aca="false">IF(C182="","",ROW()-5)</f>
        <v/>
      </c>
      <c r="B182" s="9"/>
      <c r="C182" s="10"/>
      <c r="D182" s="10"/>
      <c r="E182" s="11"/>
      <c r="F182" s="12" t="str">
        <f aca="false">IF(D182="","",IFERROR(INDEX(Harga!$B$5:$B$7,MATCH(D182,Harga!$A$5:$A$7,0)),""))</f>
        <v/>
      </c>
      <c r="G182" s="12" t="str">
        <f aca="false">IF(OR(E182="",F182=""),"",E182*F182)</f>
        <v/>
      </c>
      <c r="H182" s="10"/>
      <c r="I182" s="10"/>
    </row>
    <row r="183" customFormat="false" ht="15" hidden="false" customHeight="false" outlineLevel="0" collapsed="false">
      <c r="A183" s="8" t="str">
        <f aca="false">IF(C183="","",ROW()-5)</f>
        <v/>
      </c>
      <c r="B183" s="9"/>
      <c r="C183" s="10"/>
      <c r="D183" s="10"/>
      <c r="E183" s="11"/>
      <c r="F183" s="12" t="str">
        <f aca="false">IF(D183="","",IFERROR(INDEX(Harga!$B$5:$B$7,MATCH(D183,Harga!$A$5:$A$7,0)),""))</f>
        <v/>
      </c>
      <c r="G183" s="12" t="str">
        <f aca="false">IF(OR(E183="",F183=""),"",E183*F183)</f>
        <v/>
      </c>
      <c r="H183" s="10"/>
      <c r="I183" s="10"/>
    </row>
    <row r="184" customFormat="false" ht="15" hidden="false" customHeight="false" outlineLevel="0" collapsed="false">
      <c r="A184" s="8" t="str">
        <f aca="false">IF(C184="","",ROW()-5)</f>
        <v/>
      </c>
      <c r="B184" s="9"/>
      <c r="C184" s="10"/>
      <c r="D184" s="10"/>
      <c r="E184" s="11"/>
      <c r="F184" s="12" t="str">
        <f aca="false">IF(D184="","",IFERROR(INDEX(Harga!$B$5:$B$7,MATCH(D184,Harga!$A$5:$A$7,0)),""))</f>
        <v/>
      </c>
      <c r="G184" s="12" t="str">
        <f aca="false">IF(OR(E184="",F184=""),"",E184*F184)</f>
        <v/>
      </c>
      <c r="H184" s="10"/>
      <c r="I184" s="10"/>
    </row>
    <row r="185" customFormat="false" ht="15" hidden="false" customHeight="false" outlineLevel="0" collapsed="false">
      <c r="A185" s="8" t="str">
        <f aca="false">IF(C185="","",ROW()-5)</f>
        <v/>
      </c>
      <c r="B185" s="9"/>
      <c r="C185" s="10"/>
      <c r="D185" s="10"/>
      <c r="E185" s="11"/>
      <c r="F185" s="12" t="str">
        <f aca="false">IF(D185="","",IFERROR(INDEX(Harga!$B$5:$B$7,MATCH(D185,Harga!$A$5:$A$7,0)),""))</f>
        <v/>
      </c>
      <c r="G185" s="12" t="str">
        <f aca="false">IF(OR(E185="",F185=""),"",E185*F185)</f>
        <v/>
      </c>
      <c r="H185" s="10"/>
      <c r="I185" s="10"/>
    </row>
    <row r="186" customFormat="false" ht="15" hidden="false" customHeight="false" outlineLevel="0" collapsed="false">
      <c r="A186" s="8" t="str">
        <f aca="false">IF(C186="","",ROW()-5)</f>
        <v/>
      </c>
      <c r="B186" s="9"/>
      <c r="C186" s="10"/>
      <c r="D186" s="10"/>
      <c r="E186" s="11"/>
      <c r="F186" s="12" t="str">
        <f aca="false">IF(D186="","",IFERROR(INDEX(Harga!$B$5:$B$7,MATCH(D186,Harga!$A$5:$A$7,0)),""))</f>
        <v/>
      </c>
      <c r="G186" s="12" t="str">
        <f aca="false">IF(OR(E186="",F186=""),"",E186*F186)</f>
        <v/>
      </c>
      <c r="H186" s="10"/>
      <c r="I186" s="10"/>
    </row>
    <row r="187" customFormat="false" ht="15" hidden="false" customHeight="false" outlineLevel="0" collapsed="false">
      <c r="A187" s="8" t="str">
        <f aca="false">IF(C187="","",ROW()-5)</f>
        <v/>
      </c>
      <c r="B187" s="9"/>
      <c r="C187" s="10"/>
      <c r="D187" s="10"/>
      <c r="E187" s="11"/>
      <c r="F187" s="12" t="str">
        <f aca="false">IF(D187="","",IFERROR(INDEX(Harga!$B$5:$B$7,MATCH(D187,Harga!$A$5:$A$7,0)),""))</f>
        <v/>
      </c>
      <c r="G187" s="12" t="str">
        <f aca="false">IF(OR(E187="",F187=""),"",E187*F187)</f>
        <v/>
      </c>
      <c r="H187" s="10"/>
      <c r="I187" s="10"/>
    </row>
    <row r="188" customFormat="false" ht="15" hidden="false" customHeight="false" outlineLevel="0" collapsed="false">
      <c r="A188" s="8" t="str">
        <f aca="false">IF(C188="","",ROW()-5)</f>
        <v/>
      </c>
      <c r="B188" s="9"/>
      <c r="C188" s="10"/>
      <c r="D188" s="10"/>
      <c r="E188" s="11"/>
      <c r="F188" s="12" t="str">
        <f aca="false">IF(D188="","",IFERROR(INDEX(Harga!$B$5:$B$7,MATCH(D188,Harga!$A$5:$A$7,0)),""))</f>
        <v/>
      </c>
      <c r="G188" s="12" t="str">
        <f aca="false">IF(OR(E188="",F188=""),"",E188*F188)</f>
        <v/>
      </c>
      <c r="H188" s="10"/>
      <c r="I188" s="10"/>
    </row>
    <row r="189" customFormat="false" ht="15" hidden="false" customHeight="false" outlineLevel="0" collapsed="false">
      <c r="A189" s="8" t="str">
        <f aca="false">IF(C189="","",ROW()-5)</f>
        <v/>
      </c>
      <c r="B189" s="9"/>
      <c r="C189" s="10"/>
      <c r="D189" s="10"/>
      <c r="E189" s="11"/>
      <c r="F189" s="12" t="str">
        <f aca="false">IF(D189="","",IFERROR(INDEX(Harga!$B$5:$B$7,MATCH(D189,Harga!$A$5:$A$7,0)),""))</f>
        <v/>
      </c>
      <c r="G189" s="12" t="str">
        <f aca="false">IF(OR(E189="",F189=""),"",E189*F189)</f>
        <v/>
      </c>
      <c r="H189" s="10"/>
      <c r="I189" s="10"/>
    </row>
    <row r="190" customFormat="false" ht="15" hidden="false" customHeight="false" outlineLevel="0" collapsed="false">
      <c r="A190" s="8" t="str">
        <f aca="false">IF(C190="","",ROW()-5)</f>
        <v/>
      </c>
      <c r="B190" s="9"/>
      <c r="C190" s="10"/>
      <c r="D190" s="10"/>
      <c r="E190" s="11"/>
      <c r="F190" s="12" t="str">
        <f aca="false">IF(D190="","",IFERROR(INDEX(Harga!$B$5:$B$7,MATCH(D190,Harga!$A$5:$A$7,0)),""))</f>
        <v/>
      </c>
      <c r="G190" s="12" t="str">
        <f aca="false">IF(OR(E190="",F190=""),"",E190*F190)</f>
        <v/>
      </c>
      <c r="H190" s="10"/>
      <c r="I190" s="10"/>
    </row>
    <row r="191" customFormat="false" ht="15" hidden="false" customHeight="false" outlineLevel="0" collapsed="false">
      <c r="A191" s="8" t="str">
        <f aca="false">IF(C191="","",ROW()-5)</f>
        <v/>
      </c>
      <c r="B191" s="9"/>
      <c r="C191" s="10"/>
      <c r="D191" s="10"/>
      <c r="E191" s="11"/>
      <c r="F191" s="12" t="str">
        <f aca="false">IF(D191="","",IFERROR(INDEX(Harga!$B$5:$B$7,MATCH(D191,Harga!$A$5:$A$7,0)),""))</f>
        <v/>
      </c>
      <c r="G191" s="12" t="str">
        <f aca="false">IF(OR(E191="",F191=""),"",E191*F191)</f>
        <v/>
      </c>
      <c r="H191" s="10"/>
      <c r="I191" s="10"/>
    </row>
    <row r="192" customFormat="false" ht="15" hidden="false" customHeight="false" outlineLevel="0" collapsed="false">
      <c r="A192" s="8" t="str">
        <f aca="false">IF(C192="","",ROW()-5)</f>
        <v/>
      </c>
      <c r="B192" s="9"/>
      <c r="C192" s="10"/>
      <c r="D192" s="10"/>
      <c r="E192" s="11"/>
      <c r="F192" s="12" t="str">
        <f aca="false">IF(D192="","",IFERROR(INDEX(Harga!$B$5:$B$7,MATCH(D192,Harga!$A$5:$A$7,0)),""))</f>
        <v/>
      </c>
      <c r="G192" s="12" t="str">
        <f aca="false">IF(OR(E192="",F192=""),"",E192*F192)</f>
        <v/>
      </c>
      <c r="H192" s="10"/>
      <c r="I192" s="10"/>
    </row>
    <row r="193" customFormat="false" ht="15" hidden="false" customHeight="false" outlineLevel="0" collapsed="false">
      <c r="A193" s="8" t="str">
        <f aca="false">IF(C193="","",ROW()-5)</f>
        <v/>
      </c>
      <c r="B193" s="9"/>
      <c r="C193" s="10"/>
      <c r="D193" s="10"/>
      <c r="E193" s="11"/>
      <c r="F193" s="12" t="str">
        <f aca="false">IF(D193="","",IFERROR(INDEX(Harga!$B$5:$B$7,MATCH(D193,Harga!$A$5:$A$7,0)),""))</f>
        <v/>
      </c>
      <c r="G193" s="12" t="str">
        <f aca="false">IF(OR(E193="",F193=""),"",E193*F193)</f>
        <v/>
      </c>
      <c r="H193" s="10"/>
      <c r="I193" s="10"/>
    </row>
    <row r="194" customFormat="false" ht="15" hidden="false" customHeight="false" outlineLevel="0" collapsed="false">
      <c r="A194" s="8" t="str">
        <f aca="false">IF(C194="","",ROW()-5)</f>
        <v/>
      </c>
      <c r="B194" s="9"/>
      <c r="C194" s="10"/>
      <c r="D194" s="10"/>
      <c r="E194" s="11"/>
      <c r="F194" s="12" t="str">
        <f aca="false">IF(D194="","",IFERROR(INDEX(Harga!$B$5:$B$7,MATCH(D194,Harga!$A$5:$A$7,0)),""))</f>
        <v/>
      </c>
      <c r="G194" s="12" t="str">
        <f aca="false">IF(OR(E194="",F194=""),"",E194*F194)</f>
        <v/>
      </c>
      <c r="H194" s="10"/>
      <c r="I194" s="10"/>
    </row>
    <row r="195" customFormat="false" ht="15" hidden="false" customHeight="false" outlineLevel="0" collapsed="false">
      <c r="A195" s="8" t="str">
        <f aca="false">IF(C195="","",ROW()-5)</f>
        <v/>
      </c>
      <c r="B195" s="9"/>
      <c r="C195" s="10"/>
      <c r="D195" s="10"/>
      <c r="E195" s="11"/>
      <c r="F195" s="12" t="str">
        <f aca="false">IF(D195="","",IFERROR(INDEX(Harga!$B$5:$B$7,MATCH(D195,Harga!$A$5:$A$7,0)),""))</f>
        <v/>
      </c>
      <c r="G195" s="12" t="str">
        <f aca="false">IF(OR(E195="",F195=""),"",E195*F195)</f>
        <v/>
      </c>
      <c r="H195" s="10"/>
      <c r="I195" s="10"/>
    </row>
    <row r="196" customFormat="false" ht="15" hidden="false" customHeight="false" outlineLevel="0" collapsed="false">
      <c r="A196" s="8" t="str">
        <f aca="false">IF(C196="","",ROW()-5)</f>
        <v/>
      </c>
      <c r="B196" s="9"/>
      <c r="C196" s="10"/>
      <c r="D196" s="10"/>
      <c r="E196" s="11"/>
      <c r="F196" s="12" t="str">
        <f aca="false">IF(D196="","",IFERROR(INDEX(Harga!$B$5:$B$7,MATCH(D196,Harga!$A$5:$A$7,0)),""))</f>
        <v/>
      </c>
      <c r="G196" s="12" t="str">
        <f aca="false">IF(OR(E196="",F196=""),"",E196*F196)</f>
        <v/>
      </c>
      <c r="H196" s="10"/>
      <c r="I196" s="10"/>
    </row>
    <row r="197" customFormat="false" ht="15" hidden="false" customHeight="false" outlineLevel="0" collapsed="false">
      <c r="A197" s="8" t="str">
        <f aca="false">IF(C197="","",ROW()-5)</f>
        <v/>
      </c>
      <c r="B197" s="9"/>
      <c r="C197" s="10"/>
      <c r="D197" s="10"/>
      <c r="E197" s="11"/>
      <c r="F197" s="12" t="str">
        <f aca="false">IF(D197="","",IFERROR(INDEX(Harga!$B$5:$B$7,MATCH(D197,Harga!$A$5:$A$7,0)),""))</f>
        <v/>
      </c>
      <c r="G197" s="12" t="str">
        <f aca="false">IF(OR(E197="",F197=""),"",E197*F197)</f>
        <v/>
      </c>
      <c r="H197" s="10"/>
      <c r="I197" s="10"/>
    </row>
    <row r="198" customFormat="false" ht="15" hidden="false" customHeight="false" outlineLevel="0" collapsed="false">
      <c r="A198" s="8" t="str">
        <f aca="false">IF(C198="","",ROW()-5)</f>
        <v/>
      </c>
      <c r="B198" s="9"/>
      <c r="C198" s="10"/>
      <c r="D198" s="10"/>
      <c r="E198" s="11"/>
      <c r="F198" s="12" t="str">
        <f aca="false">IF(D198="","",IFERROR(INDEX(Harga!$B$5:$B$7,MATCH(D198,Harga!$A$5:$A$7,0)),""))</f>
        <v/>
      </c>
      <c r="G198" s="12" t="str">
        <f aca="false">IF(OR(E198="",F198=""),"",E198*F198)</f>
        <v/>
      </c>
      <c r="H198" s="10"/>
      <c r="I198" s="10"/>
    </row>
    <row r="199" customFormat="false" ht="15" hidden="false" customHeight="false" outlineLevel="0" collapsed="false">
      <c r="A199" s="8" t="str">
        <f aca="false">IF(C199="","",ROW()-5)</f>
        <v/>
      </c>
      <c r="B199" s="9"/>
      <c r="C199" s="10"/>
      <c r="D199" s="10"/>
      <c r="E199" s="11"/>
      <c r="F199" s="12" t="str">
        <f aca="false">IF(D199="","",IFERROR(INDEX(Harga!$B$5:$B$7,MATCH(D199,Harga!$A$5:$A$7,0)),""))</f>
        <v/>
      </c>
      <c r="G199" s="12" t="str">
        <f aca="false">IF(OR(E199="",F199=""),"",E199*F199)</f>
        <v/>
      </c>
      <c r="H199" s="10"/>
      <c r="I199" s="10"/>
    </row>
    <row r="200" customFormat="false" ht="15" hidden="false" customHeight="false" outlineLevel="0" collapsed="false">
      <c r="A200" s="8" t="str">
        <f aca="false">IF(C200="","",ROW()-5)</f>
        <v/>
      </c>
      <c r="B200" s="9"/>
      <c r="C200" s="10"/>
      <c r="D200" s="10"/>
      <c r="E200" s="11"/>
      <c r="F200" s="12" t="str">
        <f aca="false">IF(D200="","",IFERROR(INDEX(Harga!$B$5:$B$7,MATCH(D200,Harga!$A$5:$A$7,0)),""))</f>
        <v/>
      </c>
      <c r="G200" s="12" t="str">
        <f aca="false">IF(OR(E200="",F200=""),"",E200*F200)</f>
        <v/>
      </c>
      <c r="H200" s="10"/>
      <c r="I200" s="10"/>
    </row>
    <row r="201" customFormat="false" ht="15" hidden="false" customHeight="false" outlineLevel="0" collapsed="false">
      <c r="A201" s="8" t="str">
        <f aca="false">IF(C201="","",ROW()-5)</f>
        <v/>
      </c>
      <c r="B201" s="9"/>
      <c r="C201" s="10"/>
      <c r="D201" s="10"/>
      <c r="E201" s="11"/>
      <c r="F201" s="12" t="str">
        <f aca="false">IF(D201="","",IFERROR(INDEX(Harga!$B$5:$B$7,MATCH(D201,Harga!$A$5:$A$7,0)),""))</f>
        <v/>
      </c>
      <c r="G201" s="12" t="str">
        <f aca="false">IF(OR(E201="",F201=""),"",E201*F201)</f>
        <v/>
      </c>
      <c r="H201" s="10"/>
      <c r="I201" s="10"/>
    </row>
    <row r="202" customFormat="false" ht="15" hidden="false" customHeight="false" outlineLevel="0" collapsed="false">
      <c r="A202" s="8" t="str">
        <f aca="false">IF(C202="","",ROW()-5)</f>
        <v/>
      </c>
      <c r="B202" s="9"/>
      <c r="C202" s="10"/>
      <c r="D202" s="10"/>
      <c r="E202" s="11"/>
      <c r="F202" s="12" t="str">
        <f aca="false">IF(D202="","",IFERROR(INDEX(Harga!$B$5:$B$7,MATCH(D202,Harga!$A$5:$A$7,0)),""))</f>
        <v/>
      </c>
      <c r="G202" s="12" t="str">
        <f aca="false">IF(OR(E202="",F202=""),"",E202*F202)</f>
        <v/>
      </c>
      <c r="H202" s="10"/>
      <c r="I202" s="10"/>
    </row>
    <row r="203" customFormat="false" ht="15" hidden="false" customHeight="false" outlineLevel="0" collapsed="false">
      <c r="A203" s="8" t="str">
        <f aca="false">IF(C203="","",ROW()-5)</f>
        <v/>
      </c>
      <c r="B203" s="9"/>
      <c r="C203" s="10"/>
      <c r="D203" s="10"/>
      <c r="E203" s="11"/>
      <c r="F203" s="12" t="str">
        <f aca="false">IF(D203="","",IFERROR(INDEX(Harga!$B$5:$B$7,MATCH(D203,Harga!$A$5:$A$7,0)),""))</f>
        <v/>
      </c>
      <c r="G203" s="12" t="str">
        <f aca="false">IF(OR(E203="",F203=""),"",E203*F203)</f>
        <v/>
      </c>
      <c r="H203" s="10"/>
      <c r="I203" s="10"/>
    </row>
    <row r="204" customFormat="false" ht="15" hidden="false" customHeight="false" outlineLevel="0" collapsed="false">
      <c r="A204" s="8" t="str">
        <f aca="false">IF(C204="","",ROW()-5)</f>
        <v/>
      </c>
      <c r="B204" s="9"/>
      <c r="C204" s="10"/>
      <c r="D204" s="10"/>
      <c r="E204" s="11"/>
      <c r="F204" s="12" t="str">
        <f aca="false">IF(D204="","",IFERROR(INDEX(Harga!$B$5:$B$7,MATCH(D204,Harga!$A$5:$A$7,0)),""))</f>
        <v/>
      </c>
      <c r="G204" s="12" t="str">
        <f aca="false">IF(OR(E204="",F204=""),"",E204*F204)</f>
        <v/>
      </c>
      <c r="H204" s="10"/>
      <c r="I204" s="10"/>
    </row>
    <row r="205" customFormat="false" ht="15" hidden="false" customHeight="false" outlineLevel="0" collapsed="false">
      <c r="A205" s="8" t="str">
        <f aca="false">IF(C205="","",ROW()-5)</f>
        <v/>
      </c>
      <c r="B205" s="9"/>
      <c r="C205" s="10"/>
      <c r="D205" s="10"/>
      <c r="E205" s="11"/>
      <c r="F205" s="12" t="str">
        <f aca="false">IF(D205="","",IFERROR(INDEX(Harga!$B$5:$B$7,MATCH(D205,Harga!$A$5:$A$7,0)),""))</f>
        <v/>
      </c>
      <c r="G205" s="12" t="str">
        <f aca="false">IF(OR(E205="",F205=""),"",E205*F205)</f>
        <v/>
      </c>
      <c r="H205" s="10"/>
      <c r="I205" s="10"/>
    </row>
    <row r="206" customFormat="false" ht="15" hidden="false" customHeight="false" outlineLevel="0" collapsed="false">
      <c r="A206" s="8" t="str">
        <f aca="false">IF(C206="","",ROW()-5)</f>
        <v/>
      </c>
      <c r="B206" s="9"/>
      <c r="C206" s="10"/>
      <c r="D206" s="10"/>
      <c r="E206" s="11"/>
      <c r="F206" s="12" t="str">
        <f aca="false">IF(D206="","",IFERROR(INDEX(Harga!$B$5:$B$7,MATCH(D206,Harga!$A$5:$A$7,0)),""))</f>
        <v/>
      </c>
      <c r="G206" s="12" t="str">
        <f aca="false">IF(OR(E206="",F206=""),"",E206*F206)</f>
        <v/>
      </c>
      <c r="H206" s="10"/>
      <c r="I206" s="10"/>
    </row>
    <row r="207" customFormat="false" ht="15" hidden="false" customHeight="false" outlineLevel="0" collapsed="false">
      <c r="A207" s="8" t="str">
        <f aca="false">IF(C207="","",ROW()-5)</f>
        <v/>
      </c>
      <c r="B207" s="9"/>
      <c r="C207" s="10"/>
      <c r="D207" s="10"/>
      <c r="E207" s="11"/>
      <c r="F207" s="12" t="str">
        <f aca="false">IF(D207="","",IFERROR(INDEX(Harga!$B$5:$B$7,MATCH(D207,Harga!$A$5:$A$7,0)),""))</f>
        <v/>
      </c>
      <c r="G207" s="12" t="str">
        <f aca="false">IF(OR(E207="",F207=""),"",E207*F207)</f>
        <v/>
      </c>
      <c r="H207" s="10"/>
      <c r="I207" s="10"/>
    </row>
    <row r="208" customFormat="false" ht="15" hidden="false" customHeight="false" outlineLevel="0" collapsed="false">
      <c r="A208" s="8" t="str">
        <f aca="false">IF(C208="","",ROW()-5)</f>
        <v/>
      </c>
      <c r="B208" s="9"/>
      <c r="C208" s="10"/>
      <c r="D208" s="10"/>
      <c r="E208" s="11"/>
      <c r="F208" s="12" t="str">
        <f aca="false">IF(D208="","",IFERROR(INDEX(Harga!$B$5:$B$7,MATCH(D208,Harga!$A$5:$A$7,0)),""))</f>
        <v/>
      </c>
      <c r="G208" s="12" t="str">
        <f aca="false">IF(OR(E208="",F208=""),"",E208*F208)</f>
        <v/>
      </c>
      <c r="H208" s="10"/>
      <c r="I208" s="10"/>
    </row>
    <row r="209" customFormat="false" ht="15" hidden="false" customHeight="false" outlineLevel="0" collapsed="false">
      <c r="A209" s="8" t="str">
        <f aca="false">IF(C209="","",ROW()-5)</f>
        <v/>
      </c>
      <c r="B209" s="9"/>
      <c r="C209" s="10"/>
      <c r="D209" s="10"/>
      <c r="E209" s="11"/>
      <c r="F209" s="12" t="str">
        <f aca="false">IF(D209="","",IFERROR(INDEX(Harga!$B$5:$B$7,MATCH(D209,Harga!$A$5:$A$7,0)),""))</f>
        <v/>
      </c>
      <c r="G209" s="12" t="str">
        <f aca="false">IF(OR(E209="",F209=""),"",E209*F209)</f>
        <v/>
      </c>
      <c r="H209" s="10"/>
      <c r="I209" s="10"/>
    </row>
    <row r="210" customFormat="false" ht="15" hidden="false" customHeight="false" outlineLevel="0" collapsed="false">
      <c r="A210" s="8" t="str">
        <f aca="false">IF(C210="","",ROW()-5)</f>
        <v/>
      </c>
      <c r="B210" s="9"/>
      <c r="C210" s="10"/>
      <c r="D210" s="10"/>
      <c r="E210" s="11"/>
      <c r="F210" s="12" t="str">
        <f aca="false">IF(D210="","",IFERROR(INDEX(Harga!$B$5:$B$7,MATCH(D210,Harga!$A$5:$A$7,0)),""))</f>
        <v/>
      </c>
      <c r="G210" s="12" t="str">
        <f aca="false">IF(OR(E210="",F210=""),"",E210*F210)</f>
        <v/>
      </c>
      <c r="H210" s="10"/>
      <c r="I210" s="10"/>
    </row>
    <row r="211" customFormat="false" ht="15" hidden="false" customHeight="false" outlineLevel="0" collapsed="false">
      <c r="A211" s="8" t="str">
        <f aca="false">IF(C211="","",ROW()-5)</f>
        <v/>
      </c>
      <c r="B211" s="9"/>
      <c r="C211" s="10"/>
      <c r="D211" s="10"/>
      <c r="E211" s="11"/>
      <c r="F211" s="12" t="str">
        <f aca="false">IF(D211="","",IFERROR(INDEX(Harga!$B$5:$B$7,MATCH(D211,Harga!$A$5:$A$7,0)),""))</f>
        <v/>
      </c>
      <c r="G211" s="12" t="str">
        <f aca="false">IF(OR(E211="",F211=""),"",E211*F211)</f>
        <v/>
      </c>
      <c r="H211" s="10"/>
      <c r="I211" s="10"/>
    </row>
    <row r="212" customFormat="false" ht="15" hidden="false" customHeight="false" outlineLevel="0" collapsed="false">
      <c r="A212" s="8" t="str">
        <f aca="false">IF(C212="","",ROW()-5)</f>
        <v/>
      </c>
      <c r="B212" s="9"/>
      <c r="C212" s="10"/>
      <c r="D212" s="10"/>
      <c r="E212" s="11"/>
      <c r="F212" s="12" t="str">
        <f aca="false">IF(D212="","",IFERROR(INDEX(Harga!$B$5:$B$7,MATCH(D212,Harga!$A$5:$A$7,0)),""))</f>
        <v/>
      </c>
      <c r="G212" s="12" t="str">
        <f aca="false">IF(OR(E212="",F212=""),"",E212*F212)</f>
        <v/>
      </c>
      <c r="H212" s="10"/>
      <c r="I212" s="10"/>
    </row>
    <row r="213" customFormat="false" ht="15" hidden="false" customHeight="false" outlineLevel="0" collapsed="false">
      <c r="A213" s="8" t="str">
        <f aca="false">IF(C213="","",ROW()-5)</f>
        <v/>
      </c>
      <c r="B213" s="9"/>
      <c r="C213" s="10"/>
      <c r="D213" s="10"/>
      <c r="E213" s="11"/>
      <c r="F213" s="12" t="str">
        <f aca="false">IF(D213="","",IFERROR(INDEX(Harga!$B$5:$B$7,MATCH(D213,Harga!$A$5:$A$7,0)),""))</f>
        <v/>
      </c>
      <c r="G213" s="12" t="str">
        <f aca="false">IF(OR(E213="",F213=""),"",E213*F213)</f>
        <v/>
      </c>
      <c r="H213" s="10"/>
      <c r="I213" s="10"/>
    </row>
    <row r="214" customFormat="false" ht="15" hidden="false" customHeight="false" outlineLevel="0" collapsed="false">
      <c r="A214" s="8" t="str">
        <f aca="false">IF(C214="","",ROW()-5)</f>
        <v/>
      </c>
      <c r="B214" s="9"/>
      <c r="C214" s="10"/>
      <c r="D214" s="10"/>
      <c r="E214" s="11"/>
      <c r="F214" s="12" t="str">
        <f aca="false">IF(D214="","",IFERROR(INDEX(Harga!$B$5:$B$7,MATCH(D214,Harga!$A$5:$A$7,0)),""))</f>
        <v/>
      </c>
      <c r="G214" s="12" t="str">
        <f aca="false">IF(OR(E214="",F214=""),"",E214*F214)</f>
        <v/>
      </c>
      <c r="H214" s="10"/>
      <c r="I214" s="10"/>
    </row>
    <row r="215" customFormat="false" ht="15" hidden="false" customHeight="false" outlineLevel="0" collapsed="false">
      <c r="A215" s="8" t="str">
        <f aca="false">IF(C215="","",ROW()-5)</f>
        <v/>
      </c>
      <c r="B215" s="9"/>
      <c r="C215" s="10"/>
      <c r="D215" s="10"/>
      <c r="E215" s="11"/>
      <c r="F215" s="12" t="str">
        <f aca="false">IF(D215="","",IFERROR(INDEX(Harga!$B$5:$B$7,MATCH(D215,Harga!$A$5:$A$7,0)),""))</f>
        <v/>
      </c>
      <c r="G215" s="12" t="str">
        <f aca="false">IF(OR(E215="",F215=""),"",E215*F215)</f>
        <v/>
      </c>
      <c r="H215" s="10"/>
      <c r="I215" s="10"/>
    </row>
    <row r="216" customFormat="false" ht="15" hidden="false" customHeight="false" outlineLevel="0" collapsed="false">
      <c r="A216" s="8" t="str">
        <f aca="false">IF(C216="","",ROW()-5)</f>
        <v/>
      </c>
      <c r="B216" s="9"/>
      <c r="C216" s="10"/>
      <c r="D216" s="10"/>
      <c r="E216" s="11"/>
      <c r="F216" s="12" t="str">
        <f aca="false">IF(D216="","",IFERROR(INDEX(Harga!$B$5:$B$7,MATCH(D216,Harga!$A$5:$A$7,0)),""))</f>
        <v/>
      </c>
      <c r="G216" s="12" t="str">
        <f aca="false">IF(OR(E216="",F216=""),"",E216*F216)</f>
        <v/>
      </c>
      <c r="H216" s="10"/>
      <c r="I216" s="10"/>
    </row>
    <row r="217" customFormat="false" ht="15" hidden="false" customHeight="false" outlineLevel="0" collapsed="false">
      <c r="A217" s="8" t="str">
        <f aca="false">IF(C217="","",ROW()-5)</f>
        <v/>
      </c>
      <c r="B217" s="9"/>
      <c r="C217" s="10"/>
      <c r="D217" s="10"/>
      <c r="E217" s="11"/>
      <c r="F217" s="12" t="str">
        <f aca="false">IF(D217="","",IFERROR(INDEX(Harga!$B$5:$B$7,MATCH(D217,Harga!$A$5:$A$7,0)),""))</f>
        <v/>
      </c>
      <c r="G217" s="12" t="str">
        <f aca="false">IF(OR(E217="",F217=""),"",E217*F217)</f>
        <v/>
      </c>
      <c r="H217" s="10"/>
      <c r="I217" s="10"/>
    </row>
    <row r="218" customFormat="false" ht="15" hidden="false" customHeight="false" outlineLevel="0" collapsed="false">
      <c r="A218" s="8" t="str">
        <f aca="false">IF(C218="","",ROW()-5)</f>
        <v/>
      </c>
      <c r="B218" s="9"/>
      <c r="C218" s="10"/>
      <c r="D218" s="10"/>
      <c r="E218" s="11"/>
      <c r="F218" s="12" t="str">
        <f aca="false">IF(D218="","",IFERROR(INDEX(Harga!$B$5:$B$7,MATCH(D218,Harga!$A$5:$A$7,0)),""))</f>
        <v/>
      </c>
      <c r="G218" s="12" t="str">
        <f aca="false">IF(OR(E218="",F218=""),"",E218*F218)</f>
        <v/>
      </c>
      <c r="H218" s="10"/>
      <c r="I218" s="10"/>
    </row>
    <row r="219" customFormat="false" ht="15" hidden="false" customHeight="false" outlineLevel="0" collapsed="false">
      <c r="A219" s="8" t="str">
        <f aca="false">IF(C219="","",ROW()-5)</f>
        <v/>
      </c>
      <c r="B219" s="9"/>
      <c r="C219" s="10"/>
      <c r="D219" s="10"/>
      <c r="E219" s="11"/>
      <c r="F219" s="12" t="str">
        <f aca="false">IF(D219="","",IFERROR(INDEX(Harga!$B$5:$B$7,MATCH(D219,Harga!$A$5:$A$7,0)),""))</f>
        <v/>
      </c>
      <c r="G219" s="12" t="str">
        <f aca="false">IF(OR(E219="",F219=""),"",E219*F219)</f>
        <v/>
      </c>
      <c r="H219" s="10"/>
      <c r="I219" s="10"/>
    </row>
    <row r="220" customFormat="false" ht="15" hidden="false" customHeight="false" outlineLevel="0" collapsed="false">
      <c r="A220" s="8" t="str">
        <f aca="false">IF(C220="","",ROW()-5)</f>
        <v/>
      </c>
      <c r="B220" s="9"/>
      <c r="C220" s="10"/>
      <c r="D220" s="10"/>
      <c r="E220" s="11"/>
      <c r="F220" s="12" t="str">
        <f aca="false">IF(D220="","",IFERROR(INDEX(Harga!$B$5:$B$7,MATCH(D220,Harga!$A$5:$A$7,0)),""))</f>
        <v/>
      </c>
      <c r="G220" s="12" t="str">
        <f aca="false">IF(OR(E220="",F220=""),"",E220*F220)</f>
        <v/>
      </c>
      <c r="H220" s="10"/>
      <c r="I220" s="10"/>
    </row>
    <row r="221" customFormat="false" ht="15" hidden="false" customHeight="false" outlineLevel="0" collapsed="false">
      <c r="A221" s="8" t="str">
        <f aca="false">IF(C221="","",ROW()-5)</f>
        <v/>
      </c>
      <c r="B221" s="9"/>
      <c r="C221" s="10"/>
      <c r="D221" s="10"/>
      <c r="E221" s="11"/>
      <c r="F221" s="12" t="str">
        <f aca="false">IF(D221="","",IFERROR(INDEX(Harga!$B$5:$B$7,MATCH(D221,Harga!$A$5:$A$7,0)),""))</f>
        <v/>
      </c>
      <c r="G221" s="12" t="str">
        <f aca="false">IF(OR(E221="",F221=""),"",E221*F221)</f>
        <v/>
      </c>
      <c r="H221" s="10"/>
      <c r="I221" s="10"/>
    </row>
    <row r="222" customFormat="false" ht="15" hidden="false" customHeight="false" outlineLevel="0" collapsed="false">
      <c r="A222" s="8" t="str">
        <f aca="false">IF(C222="","",ROW()-5)</f>
        <v/>
      </c>
      <c r="B222" s="9"/>
      <c r="C222" s="10"/>
      <c r="D222" s="10"/>
      <c r="E222" s="11"/>
      <c r="F222" s="12" t="str">
        <f aca="false">IF(D222="","",IFERROR(INDEX(Harga!$B$5:$B$7,MATCH(D222,Harga!$A$5:$A$7,0)),""))</f>
        <v/>
      </c>
      <c r="G222" s="12" t="str">
        <f aca="false">IF(OR(E222="",F222=""),"",E222*F222)</f>
        <v/>
      </c>
      <c r="H222" s="10"/>
      <c r="I222" s="10"/>
    </row>
    <row r="223" customFormat="false" ht="15" hidden="false" customHeight="false" outlineLevel="0" collapsed="false">
      <c r="A223" s="8" t="str">
        <f aca="false">IF(C223="","",ROW()-5)</f>
        <v/>
      </c>
      <c r="B223" s="9"/>
      <c r="C223" s="10"/>
      <c r="D223" s="10"/>
      <c r="E223" s="11"/>
      <c r="F223" s="12" t="str">
        <f aca="false">IF(D223="","",IFERROR(INDEX(Harga!$B$5:$B$7,MATCH(D223,Harga!$A$5:$A$7,0)),""))</f>
        <v/>
      </c>
      <c r="G223" s="12" t="str">
        <f aca="false">IF(OR(E223="",F223=""),"",E223*F223)</f>
        <v/>
      </c>
      <c r="H223" s="10"/>
      <c r="I223" s="10"/>
    </row>
    <row r="224" customFormat="false" ht="15" hidden="false" customHeight="false" outlineLevel="0" collapsed="false">
      <c r="A224" s="8" t="str">
        <f aca="false">IF(C224="","",ROW()-5)</f>
        <v/>
      </c>
      <c r="B224" s="9"/>
      <c r="C224" s="10"/>
      <c r="D224" s="10"/>
      <c r="E224" s="11"/>
      <c r="F224" s="12" t="str">
        <f aca="false">IF(D224="","",IFERROR(INDEX(Harga!$B$5:$B$7,MATCH(D224,Harga!$A$5:$A$7,0)),""))</f>
        <v/>
      </c>
      <c r="G224" s="12" t="str">
        <f aca="false">IF(OR(E224="",F224=""),"",E224*F224)</f>
        <v/>
      </c>
      <c r="H224" s="10"/>
      <c r="I224" s="10"/>
    </row>
    <row r="225" customFormat="false" ht="15" hidden="false" customHeight="false" outlineLevel="0" collapsed="false">
      <c r="A225" s="8" t="str">
        <f aca="false">IF(C225="","",ROW()-5)</f>
        <v/>
      </c>
      <c r="B225" s="9"/>
      <c r="C225" s="10"/>
      <c r="D225" s="10"/>
      <c r="E225" s="11"/>
      <c r="F225" s="12" t="str">
        <f aca="false">IF(D225="","",IFERROR(INDEX(Harga!$B$5:$B$7,MATCH(D225,Harga!$A$5:$A$7,0)),""))</f>
        <v/>
      </c>
      <c r="G225" s="12" t="str">
        <f aca="false">IF(OR(E225="",F225=""),"",E225*F225)</f>
        <v/>
      </c>
      <c r="H225" s="10"/>
      <c r="I225" s="10"/>
    </row>
    <row r="226" customFormat="false" ht="15" hidden="false" customHeight="false" outlineLevel="0" collapsed="false">
      <c r="A226" s="8" t="str">
        <f aca="false">IF(C226="","",ROW()-5)</f>
        <v/>
      </c>
      <c r="B226" s="9"/>
      <c r="C226" s="10"/>
      <c r="D226" s="10"/>
      <c r="E226" s="11"/>
      <c r="F226" s="12" t="str">
        <f aca="false">IF(D226="","",IFERROR(INDEX(Harga!$B$5:$B$7,MATCH(D226,Harga!$A$5:$A$7,0)),""))</f>
        <v/>
      </c>
      <c r="G226" s="12" t="str">
        <f aca="false">IF(OR(E226="",F226=""),"",E226*F226)</f>
        <v/>
      </c>
      <c r="H226" s="10"/>
      <c r="I226" s="10"/>
    </row>
    <row r="227" customFormat="false" ht="15" hidden="false" customHeight="false" outlineLevel="0" collapsed="false">
      <c r="A227" s="8" t="str">
        <f aca="false">IF(C227="","",ROW()-5)</f>
        <v/>
      </c>
      <c r="B227" s="9"/>
      <c r="C227" s="10"/>
      <c r="D227" s="10"/>
      <c r="E227" s="11"/>
      <c r="F227" s="12" t="str">
        <f aca="false">IF(D227="","",IFERROR(INDEX(Harga!$B$5:$B$7,MATCH(D227,Harga!$A$5:$A$7,0)),""))</f>
        <v/>
      </c>
      <c r="G227" s="12" t="str">
        <f aca="false">IF(OR(E227="",F227=""),"",E227*F227)</f>
        <v/>
      </c>
      <c r="H227" s="10"/>
      <c r="I227" s="10"/>
    </row>
    <row r="228" customFormat="false" ht="15" hidden="false" customHeight="false" outlineLevel="0" collapsed="false">
      <c r="A228" s="8" t="str">
        <f aca="false">IF(C228="","",ROW()-5)</f>
        <v/>
      </c>
      <c r="B228" s="9"/>
      <c r="C228" s="10"/>
      <c r="D228" s="10"/>
      <c r="E228" s="11"/>
      <c r="F228" s="12" t="str">
        <f aca="false">IF(D228="","",IFERROR(INDEX(Harga!$B$5:$B$7,MATCH(D228,Harga!$A$5:$A$7,0)),""))</f>
        <v/>
      </c>
      <c r="G228" s="12" t="str">
        <f aca="false">IF(OR(E228="",F228=""),"",E228*F228)</f>
        <v/>
      </c>
      <c r="H228" s="10"/>
      <c r="I228" s="10"/>
    </row>
    <row r="229" customFormat="false" ht="15" hidden="false" customHeight="false" outlineLevel="0" collapsed="false">
      <c r="A229" s="8" t="str">
        <f aca="false">IF(C229="","",ROW()-5)</f>
        <v/>
      </c>
      <c r="B229" s="9"/>
      <c r="C229" s="10"/>
      <c r="D229" s="10"/>
      <c r="E229" s="11"/>
      <c r="F229" s="12" t="str">
        <f aca="false">IF(D229="","",IFERROR(INDEX(Harga!$B$5:$B$7,MATCH(D229,Harga!$A$5:$A$7,0)),""))</f>
        <v/>
      </c>
      <c r="G229" s="12" t="str">
        <f aca="false">IF(OR(E229="",F229=""),"",E229*F229)</f>
        <v/>
      </c>
      <c r="H229" s="10"/>
      <c r="I229" s="10"/>
    </row>
    <row r="230" customFormat="false" ht="15" hidden="false" customHeight="false" outlineLevel="0" collapsed="false">
      <c r="A230" s="8" t="str">
        <f aca="false">IF(C230="","",ROW()-5)</f>
        <v/>
      </c>
      <c r="B230" s="9"/>
      <c r="C230" s="10"/>
      <c r="D230" s="10"/>
      <c r="E230" s="11"/>
      <c r="F230" s="12" t="str">
        <f aca="false">IF(D230="","",IFERROR(INDEX(Harga!$B$5:$B$7,MATCH(D230,Harga!$A$5:$A$7,0)),""))</f>
        <v/>
      </c>
      <c r="G230" s="12" t="str">
        <f aca="false">IF(OR(E230="",F230=""),"",E230*F230)</f>
        <v/>
      </c>
      <c r="H230" s="10"/>
      <c r="I230" s="10"/>
    </row>
    <row r="231" customFormat="false" ht="15" hidden="false" customHeight="false" outlineLevel="0" collapsed="false">
      <c r="A231" s="8" t="str">
        <f aca="false">IF(C231="","",ROW()-5)</f>
        <v/>
      </c>
      <c r="B231" s="9"/>
      <c r="C231" s="10"/>
      <c r="D231" s="10"/>
      <c r="E231" s="11"/>
      <c r="F231" s="12" t="str">
        <f aca="false">IF(D231="","",IFERROR(INDEX(Harga!$B$5:$B$7,MATCH(D231,Harga!$A$5:$A$7,0)),""))</f>
        <v/>
      </c>
      <c r="G231" s="12" t="str">
        <f aca="false">IF(OR(E231="",F231=""),"",E231*F231)</f>
        <v/>
      </c>
      <c r="H231" s="10"/>
      <c r="I231" s="10"/>
    </row>
    <row r="232" customFormat="false" ht="15" hidden="false" customHeight="false" outlineLevel="0" collapsed="false">
      <c r="A232" s="8" t="str">
        <f aca="false">IF(C232="","",ROW()-5)</f>
        <v/>
      </c>
      <c r="B232" s="9"/>
      <c r="C232" s="10"/>
      <c r="D232" s="10"/>
      <c r="E232" s="11"/>
      <c r="F232" s="12" t="str">
        <f aca="false">IF(D232="","",IFERROR(INDEX(Harga!$B$5:$B$7,MATCH(D232,Harga!$A$5:$A$7,0)),""))</f>
        <v/>
      </c>
      <c r="G232" s="12" t="str">
        <f aca="false">IF(OR(E232="",F232=""),"",E232*F232)</f>
        <v/>
      </c>
      <c r="H232" s="10"/>
      <c r="I232" s="10"/>
    </row>
    <row r="233" customFormat="false" ht="15" hidden="false" customHeight="false" outlineLevel="0" collapsed="false">
      <c r="A233" s="8" t="str">
        <f aca="false">IF(C233="","",ROW()-5)</f>
        <v/>
      </c>
      <c r="B233" s="9"/>
      <c r="C233" s="10"/>
      <c r="D233" s="10"/>
      <c r="E233" s="11"/>
      <c r="F233" s="12" t="str">
        <f aca="false">IF(D233="","",IFERROR(INDEX(Harga!$B$5:$B$7,MATCH(D233,Harga!$A$5:$A$7,0)),""))</f>
        <v/>
      </c>
      <c r="G233" s="12" t="str">
        <f aca="false">IF(OR(E233="",F233=""),"",E233*F233)</f>
        <v/>
      </c>
      <c r="H233" s="10"/>
      <c r="I233" s="10"/>
    </row>
    <row r="234" customFormat="false" ht="15" hidden="false" customHeight="false" outlineLevel="0" collapsed="false">
      <c r="A234" s="8" t="str">
        <f aca="false">IF(C234="","",ROW()-5)</f>
        <v/>
      </c>
      <c r="B234" s="9"/>
      <c r="C234" s="10"/>
      <c r="D234" s="10"/>
      <c r="E234" s="11"/>
      <c r="F234" s="12" t="str">
        <f aca="false">IF(D234="","",IFERROR(INDEX(Harga!$B$5:$B$7,MATCH(D234,Harga!$A$5:$A$7,0)),""))</f>
        <v/>
      </c>
      <c r="G234" s="12" t="str">
        <f aca="false">IF(OR(E234="",F234=""),"",E234*F234)</f>
        <v/>
      </c>
      <c r="H234" s="10"/>
      <c r="I234" s="10"/>
    </row>
    <row r="235" customFormat="false" ht="15" hidden="false" customHeight="false" outlineLevel="0" collapsed="false">
      <c r="A235" s="8" t="str">
        <f aca="false">IF(C235="","",ROW()-5)</f>
        <v/>
      </c>
      <c r="B235" s="9"/>
      <c r="C235" s="10"/>
      <c r="D235" s="10"/>
      <c r="E235" s="11"/>
      <c r="F235" s="12" t="str">
        <f aca="false">IF(D235="","",IFERROR(INDEX(Harga!$B$5:$B$7,MATCH(D235,Harga!$A$5:$A$7,0)),""))</f>
        <v/>
      </c>
      <c r="G235" s="12" t="str">
        <f aca="false">IF(OR(E235="",F235=""),"",E235*F235)</f>
        <v/>
      </c>
      <c r="H235" s="10"/>
      <c r="I235" s="10"/>
    </row>
    <row r="236" customFormat="false" ht="15" hidden="false" customHeight="false" outlineLevel="0" collapsed="false">
      <c r="A236" s="8" t="str">
        <f aca="false">IF(C236="","",ROW()-5)</f>
        <v/>
      </c>
      <c r="B236" s="9"/>
      <c r="C236" s="10"/>
      <c r="D236" s="10"/>
      <c r="E236" s="11"/>
      <c r="F236" s="12" t="str">
        <f aca="false">IF(D236="","",IFERROR(INDEX(Harga!$B$5:$B$7,MATCH(D236,Harga!$A$5:$A$7,0)),""))</f>
        <v/>
      </c>
      <c r="G236" s="12" t="str">
        <f aca="false">IF(OR(E236="",F236=""),"",E236*F236)</f>
        <v/>
      </c>
      <c r="H236" s="10"/>
      <c r="I236" s="10"/>
    </row>
    <row r="237" customFormat="false" ht="15" hidden="false" customHeight="false" outlineLevel="0" collapsed="false">
      <c r="A237" s="8" t="str">
        <f aca="false">IF(C237="","",ROW()-5)</f>
        <v/>
      </c>
      <c r="B237" s="9"/>
      <c r="C237" s="10"/>
      <c r="D237" s="10"/>
      <c r="E237" s="11"/>
      <c r="F237" s="12" t="str">
        <f aca="false">IF(D237="","",IFERROR(INDEX(Harga!$B$5:$B$7,MATCH(D237,Harga!$A$5:$A$7,0)),""))</f>
        <v/>
      </c>
      <c r="G237" s="12" t="str">
        <f aca="false">IF(OR(E237="",F237=""),"",E237*F237)</f>
        <v/>
      </c>
      <c r="H237" s="10"/>
      <c r="I237" s="10"/>
    </row>
    <row r="238" customFormat="false" ht="15" hidden="false" customHeight="false" outlineLevel="0" collapsed="false">
      <c r="A238" s="8" t="str">
        <f aca="false">IF(C238="","",ROW()-5)</f>
        <v/>
      </c>
      <c r="B238" s="9"/>
      <c r="C238" s="10"/>
      <c r="D238" s="10"/>
      <c r="E238" s="11"/>
      <c r="F238" s="12" t="str">
        <f aca="false">IF(D238="","",IFERROR(INDEX(Harga!$B$5:$B$7,MATCH(D238,Harga!$A$5:$A$7,0)),""))</f>
        <v/>
      </c>
      <c r="G238" s="12" t="str">
        <f aca="false">IF(OR(E238="",F238=""),"",E238*F238)</f>
        <v/>
      </c>
      <c r="H238" s="10"/>
      <c r="I238" s="10"/>
    </row>
    <row r="239" customFormat="false" ht="15" hidden="false" customHeight="false" outlineLevel="0" collapsed="false">
      <c r="A239" s="8" t="str">
        <f aca="false">IF(C239="","",ROW()-5)</f>
        <v/>
      </c>
      <c r="B239" s="9"/>
      <c r="C239" s="10"/>
      <c r="D239" s="10"/>
      <c r="E239" s="11"/>
      <c r="F239" s="12" t="str">
        <f aca="false">IF(D239="","",IFERROR(INDEX(Harga!$B$5:$B$7,MATCH(D239,Harga!$A$5:$A$7,0)),""))</f>
        <v/>
      </c>
      <c r="G239" s="12" t="str">
        <f aca="false">IF(OR(E239="",F239=""),"",E239*F239)</f>
        <v/>
      </c>
      <c r="H239" s="10"/>
      <c r="I239" s="10"/>
    </row>
    <row r="240" customFormat="false" ht="15" hidden="false" customHeight="false" outlineLevel="0" collapsed="false">
      <c r="A240" s="8" t="str">
        <f aca="false">IF(C240="","",ROW()-5)</f>
        <v/>
      </c>
      <c r="B240" s="9"/>
      <c r="C240" s="10"/>
      <c r="D240" s="10"/>
      <c r="E240" s="11"/>
      <c r="F240" s="12" t="str">
        <f aca="false">IF(D240="","",IFERROR(INDEX(Harga!$B$5:$B$7,MATCH(D240,Harga!$A$5:$A$7,0)),""))</f>
        <v/>
      </c>
      <c r="G240" s="12" t="str">
        <f aca="false">IF(OR(E240="",F240=""),"",E240*F240)</f>
        <v/>
      </c>
      <c r="H240" s="10"/>
      <c r="I240" s="10"/>
    </row>
    <row r="241" customFormat="false" ht="15" hidden="false" customHeight="false" outlineLevel="0" collapsed="false">
      <c r="A241" s="8" t="str">
        <f aca="false">IF(C241="","",ROW()-5)</f>
        <v/>
      </c>
      <c r="B241" s="9"/>
      <c r="C241" s="10"/>
      <c r="D241" s="10"/>
      <c r="E241" s="11"/>
      <c r="F241" s="12" t="str">
        <f aca="false">IF(D241="","",IFERROR(INDEX(Harga!$B$5:$B$7,MATCH(D241,Harga!$A$5:$A$7,0)),""))</f>
        <v/>
      </c>
      <c r="G241" s="12" t="str">
        <f aca="false">IF(OR(E241="",F241=""),"",E241*F241)</f>
        <v/>
      </c>
      <c r="H241" s="10"/>
      <c r="I241" s="10"/>
    </row>
    <row r="242" customFormat="false" ht="15" hidden="false" customHeight="false" outlineLevel="0" collapsed="false">
      <c r="A242" s="8" t="str">
        <f aca="false">IF(C242="","",ROW()-5)</f>
        <v/>
      </c>
      <c r="B242" s="9"/>
      <c r="C242" s="10"/>
      <c r="D242" s="10"/>
      <c r="E242" s="11"/>
      <c r="F242" s="12" t="str">
        <f aca="false">IF(D242="","",IFERROR(INDEX(Harga!$B$5:$B$7,MATCH(D242,Harga!$A$5:$A$7,0)),""))</f>
        <v/>
      </c>
      <c r="G242" s="12" t="str">
        <f aca="false">IF(OR(E242="",F242=""),"",E242*F242)</f>
        <v/>
      </c>
      <c r="H242" s="10"/>
      <c r="I242" s="10"/>
    </row>
    <row r="243" customFormat="false" ht="15" hidden="false" customHeight="false" outlineLevel="0" collapsed="false">
      <c r="A243" s="8" t="str">
        <f aca="false">IF(C243="","",ROW()-5)</f>
        <v/>
      </c>
      <c r="B243" s="9"/>
      <c r="C243" s="10"/>
      <c r="D243" s="10"/>
      <c r="E243" s="11"/>
      <c r="F243" s="12" t="str">
        <f aca="false">IF(D243="","",IFERROR(INDEX(Harga!$B$5:$B$7,MATCH(D243,Harga!$A$5:$A$7,0)),""))</f>
        <v/>
      </c>
      <c r="G243" s="12" t="str">
        <f aca="false">IF(OR(E243="",F243=""),"",E243*F243)</f>
        <v/>
      </c>
      <c r="H243" s="10"/>
      <c r="I243" s="10"/>
    </row>
    <row r="244" customFormat="false" ht="15" hidden="false" customHeight="false" outlineLevel="0" collapsed="false">
      <c r="A244" s="8" t="str">
        <f aca="false">IF(C244="","",ROW()-5)</f>
        <v/>
      </c>
      <c r="B244" s="9"/>
      <c r="C244" s="10"/>
      <c r="D244" s="10"/>
      <c r="E244" s="11"/>
      <c r="F244" s="12" t="str">
        <f aca="false">IF(D244="","",IFERROR(INDEX(Harga!$B$5:$B$7,MATCH(D244,Harga!$A$5:$A$7,0)),""))</f>
        <v/>
      </c>
      <c r="G244" s="12" t="str">
        <f aca="false">IF(OR(E244="",F244=""),"",E244*F244)</f>
        <v/>
      </c>
      <c r="H244" s="10"/>
      <c r="I244" s="10"/>
    </row>
    <row r="245" customFormat="false" ht="15" hidden="false" customHeight="false" outlineLevel="0" collapsed="false">
      <c r="A245" s="8" t="str">
        <f aca="false">IF(C245="","",ROW()-5)</f>
        <v/>
      </c>
      <c r="B245" s="9"/>
      <c r="C245" s="10"/>
      <c r="D245" s="10"/>
      <c r="E245" s="11"/>
      <c r="F245" s="12" t="str">
        <f aca="false">IF(D245="","",IFERROR(INDEX(Harga!$B$5:$B$7,MATCH(D245,Harga!$A$5:$A$7,0)),""))</f>
        <v/>
      </c>
      <c r="G245" s="12" t="str">
        <f aca="false">IF(OR(E245="",F245=""),"",E245*F245)</f>
        <v/>
      </c>
      <c r="H245" s="10"/>
      <c r="I245" s="10"/>
    </row>
    <row r="246" customFormat="false" ht="15" hidden="false" customHeight="false" outlineLevel="0" collapsed="false">
      <c r="A246" s="8" t="str">
        <f aca="false">IF(C246="","",ROW()-5)</f>
        <v/>
      </c>
      <c r="B246" s="9"/>
      <c r="C246" s="10"/>
      <c r="D246" s="10"/>
      <c r="E246" s="11"/>
      <c r="F246" s="12" t="str">
        <f aca="false">IF(D246="","",IFERROR(INDEX(Harga!$B$5:$B$7,MATCH(D246,Harga!$A$5:$A$7,0)),""))</f>
        <v/>
      </c>
      <c r="G246" s="12" t="str">
        <f aca="false">IF(OR(E246="",F246=""),"",E246*F246)</f>
        <v/>
      </c>
      <c r="H246" s="10"/>
      <c r="I246" s="10"/>
    </row>
    <row r="247" customFormat="false" ht="15" hidden="false" customHeight="false" outlineLevel="0" collapsed="false">
      <c r="A247" s="8" t="str">
        <f aca="false">IF(C247="","",ROW()-5)</f>
        <v/>
      </c>
      <c r="B247" s="9"/>
      <c r="C247" s="10"/>
      <c r="D247" s="10"/>
      <c r="E247" s="11"/>
      <c r="F247" s="12" t="str">
        <f aca="false">IF(D247="","",IFERROR(INDEX(Harga!$B$5:$B$7,MATCH(D247,Harga!$A$5:$A$7,0)),""))</f>
        <v/>
      </c>
      <c r="G247" s="12" t="str">
        <f aca="false">IF(OR(E247="",F247=""),"",E247*F247)</f>
        <v/>
      </c>
      <c r="H247" s="10"/>
      <c r="I247" s="10"/>
    </row>
    <row r="248" customFormat="false" ht="15" hidden="false" customHeight="false" outlineLevel="0" collapsed="false">
      <c r="A248" s="8" t="str">
        <f aca="false">IF(C248="","",ROW()-5)</f>
        <v/>
      </c>
      <c r="B248" s="9"/>
      <c r="C248" s="10"/>
      <c r="D248" s="10"/>
      <c r="E248" s="11"/>
      <c r="F248" s="12" t="str">
        <f aca="false">IF(D248="","",IFERROR(INDEX(Harga!$B$5:$B$7,MATCH(D248,Harga!$A$5:$A$7,0)),""))</f>
        <v/>
      </c>
      <c r="G248" s="12" t="str">
        <f aca="false">IF(OR(E248="",F248=""),"",E248*F248)</f>
        <v/>
      </c>
      <c r="H248" s="10"/>
      <c r="I248" s="10"/>
    </row>
    <row r="249" customFormat="false" ht="15" hidden="false" customHeight="false" outlineLevel="0" collapsed="false">
      <c r="A249" s="8" t="str">
        <f aca="false">IF(C249="","",ROW()-5)</f>
        <v/>
      </c>
      <c r="B249" s="9"/>
      <c r="C249" s="10"/>
      <c r="D249" s="10"/>
      <c r="E249" s="11"/>
      <c r="F249" s="12" t="str">
        <f aca="false">IF(D249="","",IFERROR(INDEX(Harga!$B$5:$B$7,MATCH(D249,Harga!$A$5:$A$7,0)),""))</f>
        <v/>
      </c>
      <c r="G249" s="12" t="str">
        <f aca="false">IF(OR(E249="",F249=""),"",E249*F249)</f>
        <v/>
      </c>
      <c r="H249" s="10"/>
      <c r="I249" s="10"/>
    </row>
    <row r="250" customFormat="false" ht="15" hidden="false" customHeight="false" outlineLevel="0" collapsed="false">
      <c r="A250" s="8" t="str">
        <f aca="false">IF(C250="","",ROW()-5)</f>
        <v/>
      </c>
      <c r="B250" s="9"/>
      <c r="C250" s="10"/>
      <c r="D250" s="10"/>
      <c r="E250" s="11"/>
      <c r="F250" s="12" t="str">
        <f aca="false">IF(D250="","",IFERROR(INDEX(Harga!$B$5:$B$7,MATCH(D250,Harga!$A$5:$A$7,0)),""))</f>
        <v/>
      </c>
      <c r="G250" s="12" t="str">
        <f aca="false">IF(OR(E250="",F250=""),"",E250*F250)</f>
        <v/>
      </c>
      <c r="H250" s="10"/>
      <c r="I250" s="10"/>
    </row>
    <row r="251" customFormat="false" ht="15" hidden="false" customHeight="false" outlineLevel="0" collapsed="false">
      <c r="A251" s="8" t="str">
        <f aca="false">IF(C251="","",ROW()-5)</f>
        <v/>
      </c>
      <c r="B251" s="9"/>
      <c r="C251" s="10"/>
      <c r="D251" s="10"/>
      <c r="E251" s="11"/>
      <c r="F251" s="12" t="str">
        <f aca="false">IF(D251="","",IFERROR(INDEX(Harga!$B$5:$B$7,MATCH(D251,Harga!$A$5:$A$7,0)),""))</f>
        <v/>
      </c>
      <c r="G251" s="12" t="str">
        <f aca="false">IF(OR(E251="",F251=""),"",E251*F251)</f>
        <v/>
      </c>
      <c r="H251" s="10"/>
      <c r="I251" s="10"/>
    </row>
    <row r="252" customFormat="false" ht="15" hidden="false" customHeight="false" outlineLevel="0" collapsed="false">
      <c r="A252" s="8" t="str">
        <f aca="false">IF(C252="","",ROW()-5)</f>
        <v/>
      </c>
      <c r="B252" s="9"/>
      <c r="C252" s="10"/>
      <c r="D252" s="10"/>
      <c r="E252" s="11"/>
      <c r="F252" s="12" t="str">
        <f aca="false">IF(D252="","",IFERROR(INDEX(Harga!$B$5:$B$7,MATCH(D252,Harga!$A$5:$A$7,0)),""))</f>
        <v/>
      </c>
      <c r="G252" s="12" t="str">
        <f aca="false">IF(OR(E252="",F252=""),"",E252*F252)</f>
        <v/>
      </c>
      <c r="H252" s="10"/>
      <c r="I252" s="10"/>
    </row>
    <row r="253" customFormat="false" ht="15" hidden="false" customHeight="false" outlineLevel="0" collapsed="false">
      <c r="A253" s="8" t="str">
        <f aca="false">IF(C253="","",ROW()-5)</f>
        <v/>
      </c>
      <c r="B253" s="9"/>
      <c r="C253" s="10"/>
      <c r="D253" s="10"/>
      <c r="E253" s="11"/>
      <c r="F253" s="12" t="str">
        <f aca="false">IF(D253="","",IFERROR(INDEX(Harga!$B$5:$B$7,MATCH(D253,Harga!$A$5:$A$7,0)),""))</f>
        <v/>
      </c>
      <c r="G253" s="12" t="str">
        <f aca="false">IF(OR(E253="",F253=""),"",E253*F253)</f>
        <v/>
      </c>
      <c r="H253" s="10"/>
      <c r="I253" s="10"/>
    </row>
    <row r="254" customFormat="false" ht="15" hidden="false" customHeight="false" outlineLevel="0" collapsed="false">
      <c r="A254" s="8" t="str">
        <f aca="false">IF(C254="","",ROW()-5)</f>
        <v/>
      </c>
      <c r="B254" s="9"/>
      <c r="C254" s="10"/>
      <c r="D254" s="10"/>
      <c r="E254" s="11"/>
      <c r="F254" s="12" t="str">
        <f aca="false">IF(D254="","",IFERROR(INDEX(Harga!$B$5:$B$7,MATCH(D254,Harga!$A$5:$A$7,0)),""))</f>
        <v/>
      </c>
      <c r="G254" s="12" t="str">
        <f aca="false">IF(OR(E254="",F254=""),"",E254*F254)</f>
        <v/>
      </c>
      <c r="H254" s="10"/>
      <c r="I254" s="10"/>
    </row>
    <row r="255" customFormat="false" ht="15" hidden="false" customHeight="false" outlineLevel="0" collapsed="false">
      <c r="A255" s="8" t="str">
        <f aca="false">IF(C255="","",ROW()-5)</f>
        <v/>
      </c>
      <c r="B255" s="9"/>
      <c r="C255" s="10"/>
      <c r="D255" s="10"/>
      <c r="E255" s="11"/>
      <c r="F255" s="12" t="str">
        <f aca="false">IF(D255="","",IFERROR(INDEX(Harga!$B$5:$B$7,MATCH(D255,Harga!$A$5:$A$7,0)),""))</f>
        <v/>
      </c>
      <c r="G255" s="12" t="str">
        <f aca="false">IF(OR(E255="",F255=""),"",E255*F255)</f>
        <v/>
      </c>
      <c r="H255" s="10"/>
      <c r="I255" s="10"/>
    </row>
    <row r="256" customFormat="false" ht="15" hidden="false" customHeight="false" outlineLevel="0" collapsed="false">
      <c r="A256" s="8" t="str">
        <f aca="false">IF(C256="","",ROW()-5)</f>
        <v/>
      </c>
      <c r="B256" s="9"/>
      <c r="C256" s="10"/>
      <c r="D256" s="10"/>
      <c r="E256" s="11"/>
      <c r="F256" s="12" t="str">
        <f aca="false">IF(D256="","",IFERROR(INDEX(Harga!$B$5:$B$7,MATCH(D256,Harga!$A$5:$A$7,0)),""))</f>
        <v/>
      </c>
      <c r="G256" s="12" t="str">
        <f aca="false">IF(OR(E256="",F256=""),"",E256*F256)</f>
        <v/>
      </c>
      <c r="H256" s="10"/>
      <c r="I256" s="10"/>
    </row>
    <row r="257" customFormat="false" ht="15" hidden="false" customHeight="false" outlineLevel="0" collapsed="false">
      <c r="A257" s="8" t="str">
        <f aca="false">IF(C257="","",ROW()-5)</f>
        <v/>
      </c>
      <c r="B257" s="9"/>
      <c r="C257" s="10"/>
      <c r="D257" s="10"/>
      <c r="E257" s="11"/>
      <c r="F257" s="12" t="str">
        <f aca="false">IF(D257="","",IFERROR(INDEX(Harga!$B$5:$B$7,MATCH(D257,Harga!$A$5:$A$7,0)),""))</f>
        <v/>
      </c>
      <c r="G257" s="12" t="str">
        <f aca="false">IF(OR(E257="",F257=""),"",E257*F257)</f>
        <v/>
      </c>
      <c r="H257" s="10"/>
      <c r="I257" s="10"/>
    </row>
    <row r="258" customFormat="false" ht="15" hidden="false" customHeight="false" outlineLevel="0" collapsed="false">
      <c r="A258" s="8" t="str">
        <f aca="false">IF(C258="","",ROW()-5)</f>
        <v/>
      </c>
      <c r="B258" s="9"/>
      <c r="C258" s="10"/>
      <c r="D258" s="10"/>
      <c r="E258" s="11"/>
      <c r="F258" s="12" t="str">
        <f aca="false">IF(D258="","",IFERROR(INDEX(Harga!$B$5:$B$7,MATCH(D258,Harga!$A$5:$A$7,0)),""))</f>
        <v/>
      </c>
      <c r="G258" s="12" t="str">
        <f aca="false">IF(OR(E258="",F258=""),"",E258*F258)</f>
        <v/>
      </c>
      <c r="H258" s="10"/>
      <c r="I258" s="10"/>
    </row>
    <row r="259" customFormat="false" ht="15" hidden="false" customHeight="false" outlineLevel="0" collapsed="false">
      <c r="A259" s="8" t="str">
        <f aca="false">IF(C259="","",ROW()-5)</f>
        <v/>
      </c>
      <c r="B259" s="9"/>
      <c r="C259" s="10"/>
      <c r="D259" s="10"/>
      <c r="E259" s="11"/>
      <c r="F259" s="12" t="str">
        <f aca="false">IF(D259="","",IFERROR(INDEX(Harga!$B$5:$B$7,MATCH(D259,Harga!$A$5:$A$7,0)),""))</f>
        <v/>
      </c>
      <c r="G259" s="12" t="str">
        <f aca="false">IF(OR(E259="",F259=""),"",E259*F259)</f>
        <v/>
      </c>
      <c r="H259" s="10"/>
      <c r="I259" s="10"/>
    </row>
    <row r="260" customFormat="false" ht="15" hidden="false" customHeight="false" outlineLevel="0" collapsed="false">
      <c r="A260" s="8" t="str">
        <f aca="false">IF(C260="","",ROW()-5)</f>
        <v/>
      </c>
      <c r="B260" s="9"/>
      <c r="C260" s="10"/>
      <c r="D260" s="10"/>
      <c r="E260" s="11"/>
      <c r="F260" s="12" t="str">
        <f aca="false">IF(D260="","",IFERROR(INDEX(Harga!$B$5:$B$7,MATCH(D260,Harga!$A$5:$A$7,0)),""))</f>
        <v/>
      </c>
      <c r="G260" s="12" t="str">
        <f aca="false">IF(OR(E260="",F260=""),"",E260*F260)</f>
        <v/>
      </c>
      <c r="H260" s="10"/>
      <c r="I260" s="10"/>
    </row>
    <row r="261" customFormat="false" ht="15" hidden="false" customHeight="false" outlineLevel="0" collapsed="false">
      <c r="A261" s="8" t="str">
        <f aca="false">IF(C261="","",ROW()-5)</f>
        <v/>
      </c>
      <c r="B261" s="9"/>
      <c r="C261" s="10"/>
      <c r="D261" s="10"/>
      <c r="E261" s="11"/>
      <c r="F261" s="12" t="str">
        <f aca="false">IF(D261="","",IFERROR(INDEX(Harga!$B$5:$B$7,MATCH(D261,Harga!$A$5:$A$7,0)),""))</f>
        <v/>
      </c>
      <c r="G261" s="12" t="str">
        <f aca="false">IF(OR(E261="",F261=""),"",E261*F261)</f>
        <v/>
      </c>
      <c r="H261" s="10"/>
      <c r="I261" s="10"/>
    </row>
    <row r="262" customFormat="false" ht="15" hidden="false" customHeight="false" outlineLevel="0" collapsed="false">
      <c r="A262" s="8" t="str">
        <f aca="false">IF(C262="","",ROW()-5)</f>
        <v/>
      </c>
      <c r="B262" s="9"/>
      <c r="C262" s="10"/>
      <c r="D262" s="10"/>
      <c r="E262" s="11"/>
      <c r="F262" s="12" t="str">
        <f aca="false">IF(D262="","",IFERROR(INDEX(Harga!$B$5:$B$7,MATCH(D262,Harga!$A$5:$A$7,0)),""))</f>
        <v/>
      </c>
      <c r="G262" s="12" t="str">
        <f aca="false">IF(OR(E262="",F262=""),"",E262*F262)</f>
        <v/>
      </c>
      <c r="H262" s="10"/>
      <c r="I262" s="10"/>
    </row>
    <row r="263" customFormat="false" ht="15" hidden="false" customHeight="false" outlineLevel="0" collapsed="false">
      <c r="A263" s="8" t="str">
        <f aca="false">IF(C263="","",ROW()-5)</f>
        <v/>
      </c>
      <c r="B263" s="9"/>
      <c r="C263" s="10"/>
      <c r="D263" s="10"/>
      <c r="E263" s="11"/>
      <c r="F263" s="12" t="str">
        <f aca="false">IF(D263="","",IFERROR(INDEX(Harga!$B$5:$B$7,MATCH(D263,Harga!$A$5:$A$7,0)),""))</f>
        <v/>
      </c>
      <c r="G263" s="12" t="str">
        <f aca="false">IF(OR(E263="",F263=""),"",E263*F263)</f>
        <v/>
      </c>
      <c r="H263" s="10"/>
      <c r="I263" s="10"/>
    </row>
    <row r="264" customFormat="false" ht="15" hidden="false" customHeight="false" outlineLevel="0" collapsed="false">
      <c r="A264" s="8" t="str">
        <f aca="false">IF(C264="","",ROW()-5)</f>
        <v/>
      </c>
      <c r="B264" s="9"/>
      <c r="C264" s="10"/>
      <c r="D264" s="10"/>
      <c r="E264" s="11"/>
      <c r="F264" s="12" t="str">
        <f aca="false">IF(D264="","",IFERROR(INDEX(Harga!$B$5:$B$7,MATCH(D264,Harga!$A$5:$A$7,0)),""))</f>
        <v/>
      </c>
      <c r="G264" s="12" t="str">
        <f aca="false">IF(OR(E264="",F264=""),"",E264*F264)</f>
        <v/>
      </c>
      <c r="H264" s="10"/>
      <c r="I264" s="10"/>
    </row>
    <row r="265" customFormat="false" ht="15" hidden="false" customHeight="false" outlineLevel="0" collapsed="false">
      <c r="A265" s="8" t="str">
        <f aca="false">IF(C265="","",ROW()-5)</f>
        <v/>
      </c>
      <c r="B265" s="9"/>
      <c r="C265" s="10"/>
      <c r="D265" s="10"/>
      <c r="E265" s="11"/>
      <c r="F265" s="12" t="str">
        <f aca="false">IF(D265="","",IFERROR(INDEX(Harga!$B$5:$B$7,MATCH(D265,Harga!$A$5:$A$7,0)),""))</f>
        <v/>
      </c>
      <c r="G265" s="12" t="str">
        <f aca="false">IF(OR(E265="",F265=""),"",E265*F265)</f>
        <v/>
      </c>
      <c r="H265" s="10"/>
      <c r="I265" s="10"/>
    </row>
    <row r="266" customFormat="false" ht="15" hidden="false" customHeight="false" outlineLevel="0" collapsed="false">
      <c r="A266" s="8" t="str">
        <f aca="false">IF(C266="","",ROW()-5)</f>
        <v/>
      </c>
      <c r="B266" s="9"/>
      <c r="C266" s="10"/>
      <c r="D266" s="10"/>
      <c r="E266" s="11"/>
      <c r="F266" s="12" t="str">
        <f aca="false">IF(D266="","",IFERROR(INDEX(Harga!$B$5:$B$7,MATCH(D266,Harga!$A$5:$A$7,0)),""))</f>
        <v/>
      </c>
      <c r="G266" s="12" t="str">
        <f aca="false">IF(OR(E266="",F266=""),"",E266*F266)</f>
        <v/>
      </c>
      <c r="H266" s="10"/>
      <c r="I266" s="10"/>
    </row>
    <row r="267" customFormat="false" ht="15" hidden="false" customHeight="false" outlineLevel="0" collapsed="false">
      <c r="A267" s="8" t="str">
        <f aca="false">IF(C267="","",ROW()-5)</f>
        <v/>
      </c>
      <c r="B267" s="9"/>
      <c r="C267" s="10"/>
      <c r="D267" s="10"/>
      <c r="E267" s="11"/>
      <c r="F267" s="12" t="str">
        <f aca="false">IF(D267="","",IFERROR(INDEX(Harga!$B$5:$B$7,MATCH(D267,Harga!$A$5:$A$7,0)),""))</f>
        <v/>
      </c>
      <c r="G267" s="12" t="str">
        <f aca="false">IF(OR(E267="",F267=""),"",E267*F267)</f>
        <v/>
      </c>
      <c r="H267" s="10"/>
      <c r="I267" s="10"/>
    </row>
    <row r="268" customFormat="false" ht="15" hidden="false" customHeight="false" outlineLevel="0" collapsed="false">
      <c r="A268" s="8" t="str">
        <f aca="false">IF(C268="","",ROW()-5)</f>
        <v/>
      </c>
      <c r="B268" s="9"/>
      <c r="C268" s="10"/>
      <c r="D268" s="10"/>
      <c r="E268" s="11"/>
      <c r="F268" s="12" t="str">
        <f aca="false">IF(D268="","",IFERROR(INDEX(Harga!$B$5:$B$7,MATCH(D268,Harga!$A$5:$A$7,0)),""))</f>
        <v/>
      </c>
      <c r="G268" s="12" t="str">
        <f aca="false">IF(OR(E268="",F268=""),"",E268*F268)</f>
        <v/>
      </c>
      <c r="H268" s="10"/>
      <c r="I268" s="10"/>
    </row>
    <row r="269" customFormat="false" ht="15" hidden="false" customHeight="false" outlineLevel="0" collapsed="false">
      <c r="A269" s="8" t="str">
        <f aca="false">IF(C269="","",ROW()-5)</f>
        <v/>
      </c>
      <c r="B269" s="9"/>
      <c r="C269" s="10"/>
      <c r="D269" s="10"/>
      <c r="E269" s="11"/>
      <c r="F269" s="12" t="str">
        <f aca="false">IF(D269="","",IFERROR(INDEX(Harga!$B$5:$B$7,MATCH(D269,Harga!$A$5:$A$7,0)),""))</f>
        <v/>
      </c>
      <c r="G269" s="12" t="str">
        <f aca="false">IF(OR(E269="",F269=""),"",E269*F269)</f>
        <v/>
      </c>
      <c r="H269" s="10"/>
      <c r="I269" s="10"/>
    </row>
    <row r="270" customFormat="false" ht="15" hidden="false" customHeight="false" outlineLevel="0" collapsed="false">
      <c r="A270" s="8" t="str">
        <f aca="false">IF(C270="","",ROW()-5)</f>
        <v/>
      </c>
      <c r="B270" s="9"/>
      <c r="C270" s="10"/>
      <c r="D270" s="10"/>
      <c r="E270" s="11"/>
      <c r="F270" s="12" t="str">
        <f aca="false">IF(D270="","",IFERROR(INDEX(Harga!$B$5:$B$7,MATCH(D270,Harga!$A$5:$A$7,0)),""))</f>
        <v/>
      </c>
      <c r="G270" s="12" t="str">
        <f aca="false">IF(OR(E270="",F270=""),"",E270*F270)</f>
        <v/>
      </c>
      <c r="H270" s="10"/>
      <c r="I270" s="10"/>
    </row>
    <row r="271" customFormat="false" ht="15" hidden="false" customHeight="false" outlineLevel="0" collapsed="false">
      <c r="A271" s="8" t="str">
        <f aca="false">IF(C271="","",ROW()-5)</f>
        <v/>
      </c>
      <c r="B271" s="9"/>
      <c r="C271" s="10"/>
      <c r="D271" s="10"/>
      <c r="E271" s="11"/>
      <c r="F271" s="12" t="str">
        <f aca="false">IF(D271="","",IFERROR(INDEX(Harga!$B$5:$B$7,MATCH(D271,Harga!$A$5:$A$7,0)),""))</f>
        <v/>
      </c>
      <c r="G271" s="12" t="str">
        <f aca="false">IF(OR(E271="",F271=""),"",E271*F271)</f>
        <v/>
      </c>
      <c r="H271" s="10"/>
      <c r="I271" s="10"/>
    </row>
    <row r="272" customFormat="false" ht="15" hidden="false" customHeight="false" outlineLevel="0" collapsed="false">
      <c r="A272" s="8" t="str">
        <f aca="false">IF(C272="","",ROW()-5)</f>
        <v/>
      </c>
      <c r="B272" s="9"/>
      <c r="C272" s="10"/>
      <c r="D272" s="10"/>
      <c r="E272" s="11"/>
      <c r="F272" s="12" t="str">
        <f aca="false">IF(D272="","",IFERROR(INDEX(Harga!$B$5:$B$7,MATCH(D272,Harga!$A$5:$A$7,0)),""))</f>
        <v/>
      </c>
      <c r="G272" s="12" t="str">
        <f aca="false">IF(OR(E272="",F272=""),"",E272*F272)</f>
        <v/>
      </c>
      <c r="H272" s="10"/>
      <c r="I272" s="10"/>
    </row>
    <row r="273" customFormat="false" ht="15" hidden="false" customHeight="false" outlineLevel="0" collapsed="false">
      <c r="A273" s="8" t="str">
        <f aca="false">IF(C273="","",ROW()-5)</f>
        <v/>
      </c>
      <c r="B273" s="9"/>
      <c r="C273" s="10"/>
      <c r="D273" s="10"/>
      <c r="E273" s="11"/>
      <c r="F273" s="12" t="str">
        <f aca="false">IF(D273="","",IFERROR(INDEX(Harga!$B$5:$B$7,MATCH(D273,Harga!$A$5:$A$7,0)),""))</f>
        <v/>
      </c>
      <c r="G273" s="12" t="str">
        <f aca="false">IF(OR(E273="",F273=""),"",E273*F273)</f>
        <v/>
      </c>
      <c r="H273" s="10"/>
      <c r="I273" s="10"/>
    </row>
    <row r="274" customFormat="false" ht="15" hidden="false" customHeight="false" outlineLevel="0" collapsed="false">
      <c r="A274" s="8" t="str">
        <f aca="false">IF(C274="","",ROW()-5)</f>
        <v/>
      </c>
      <c r="B274" s="9"/>
      <c r="C274" s="10"/>
      <c r="D274" s="10"/>
      <c r="E274" s="11"/>
      <c r="F274" s="12" t="str">
        <f aca="false">IF(D274="","",IFERROR(INDEX(Harga!$B$5:$B$7,MATCH(D274,Harga!$A$5:$A$7,0)),""))</f>
        <v/>
      </c>
      <c r="G274" s="12" t="str">
        <f aca="false">IF(OR(E274="",F274=""),"",E274*F274)</f>
        <v/>
      </c>
      <c r="H274" s="10"/>
      <c r="I274" s="10"/>
    </row>
    <row r="275" customFormat="false" ht="15" hidden="false" customHeight="false" outlineLevel="0" collapsed="false">
      <c r="A275" s="8" t="str">
        <f aca="false">IF(C275="","",ROW()-5)</f>
        <v/>
      </c>
      <c r="B275" s="9"/>
      <c r="C275" s="10"/>
      <c r="D275" s="10"/>
      <c r="E275" s="11"/>
      <c r="F275" s="12" t="str">
        <f aca="false">IF(D275="","",IFERROR(INDEX(Harga!$B$5:$B$7,MATCH(D275,Harga!$A$5:$A$7,0)),""))</f>
        <v/>
      </c>
      <c r="G275" s="12" t="str">
        <f aca="false">IF(OR(E275="",F275=""),"",E275*F275)</f>
        <v/>
      </c>
      <c r="H275" s="10"/>
      <c r="I275" s="10"/>
    </row>
    <row r="276" customFormat="false" ht="15" hidden="false" customHeight="false" outlineLevel="0" collapsed="false">
      <c r="A276" s="8" t="str">
        <f aca="false">IF(C276="","",ROW()-5)</f>
        <v/>
      </c>
      <c r="B276" s="9"/>
      <c r="C276" s="10"/>
      <c r="D276" s="10"/>
      <c r="E276" s="11"/>
      <c r="F276" s="12" t="str">
        <f aca="false">IF(D276="","",IFERROR(INDEX(Harga!$B$5:$B$7,MATCH(D276,Harga!$A$5:$A$7,0)),""))</f>
        <v/>
      </c>
      <c r="G276" s="12" t="str">
        <f aca="false">IF(OR(E276="",F276=""),"",E276*F276)</f>
        <v/>
      </c>
      <c r="H276" s="10"/>
      <c r="I276" s="10"/>
    </row>
    <row r="277" customFormat="false" ht="15" hidden="false" customHeight="false" outlineLevel="0" collapsed="false">
      <c r="A277" s="8" t="str">
        <f aca="false">IF(C277="","",ROW()-5)</f>
        <v/>
      </c>
      <c r="B277" s="9"/>
      <c r="C277" s="10"/>
      <c r="D277" s="10"/>
      <c r="E277" s="11"/>
      <c r="F277" s="12" t="str">
        <f aca="false">IF(D277="","",IFERROR(INDEX(Harga!$B$5:$B$7,MATCH(D277,Harga!$A$5:$A$7,0)),""))</f>
        <v/>
      </c>
      <c r="G277" s="12" t="str">
        <f aca="false">IF(OR(E277="",F277=""),"",E277*F277)</f>
        <v/>
      </c>
      <c r="H277" s="10"/>
      <c r="I277" s="10"/>
    </row>
    <row r="278" customFormat="false" ht="15" hidden="false" customHeight="false" outlineLevel="0" collapsed="false">
      <c r="A278" s="8" t="str">
        <f aca="false">IF(C278="","",ROW()-5)</f>
        <v/>
      </c>
      <c r="B278" s="9"/>
      <c r="C278" s="10"/>
      <c r="D278" s="10"/>
      <c r="E278" s="11"/>
      <c r="F278" s="12" t="str">
        <f aca="false">IF(D278="","",IFERROR(INDEX(Harga!$B$5:$B$7,MATCH(D278,Harga!$A$5:$A$7,0)),""))</f>
        <v/>
      </c>
      <c r="G278" s="12" t="str">
        <f aca="false">IF(OR(E278="",F278=""),"",E278*F278)</f>
        <v/>
      </c>
      <c r="H278" s="10"/>
      <c r="I278" s="10"/>
    </row>
    <row r="279" customFormat="false" ht="15" hidden="false" customHeight="false" outlineLevel="0" collapsed="false">
      <c r="A279" s="8" t="str">
        <f aca="false">IF(C279="","",ROW()-5)</f>
        <v/>
      </c>
      <c r="B279" s="9"/>
      <c r="C279" s="10"/>
      <c r="D279" s="10"/>
      <c r="E279" s="11"/>
      <c r="F279" s="12" t="str">
        <f aca="false">IF(D279="","",IFERROR(INDEX(Harga!$B$5:$B$7,MATCH(D279,Harga!$A$5:$A$7,0)),""))</f>
        <v/>
      </c>
      <c r="G279" s="12" t="str">
        <f aca="false">IF(OR(E279="",F279=""),"",E279*F279)</f>
        <v/>
      </c>
      <c r="H279" s="10"/>
      <c r="I279" s="10"/>
    </row>
    <row r="280" customFormat="false" ht="15" hidden="false" customHeight="false" outlineLevel="0" collapsed="false">
      <c r="A280" s="8" t="str">
        <f aca="false">IF(C280="","",ROW()-5)</f>
        <v/>
      </c>
      <c r="B280" s="9"/>
      <c r="C280" s="10"/>
      <c r="D280" s="10"/>
      <c r="E280" s="11"/>
      <c r="F280" s="12" t="str">
        <f aca="false">IF(D280="","",IFERROR(INDEX(Harga!$B$5:$B$7,MATCH(D280,Harga!$A$5:$A$7,0)),""))</f>
        <v/>
      </c>
      <c r="G280" s="12" t="str">
        <f aca="false">IF(OR(E280="",F280=""),"",E280*F280)</f>
        <v/>
      </c>
      <c r="H280" s="10"/>
      <c r="I280" s="10"/>
    </row>
    <row r="281" customFormat="false" ht="15" hidden="false" customHeight="false" outlineLevel="0" collapsed="false">
      <c r="A281" s="8" t="str">
        <f aca="false">IF(C281="","",ROW()-5)</f>
        <v/>
      </c>
      <c r="B281" s="9"/>
      <c r="C281" s="10"/>
      <c r="D281" s="10"/>
      <c r="E281" s="11"/>
      <c r="F281" s="12" t="str">
        <f aca="false">IF(D281="","",IFERROR(INDEX(Harga!$B$5:$B$7,MATCH(D281,Harga!$A$5:$A$7,0)),""))</f>
        <v/>
      </c>
      <c r="G281" s="12" t="str">
        <f aca="false">IF(OR(E281="",F281=""),"",E281*F281)</f>
        <v/>
      </c>
      <c r="H281" s="10"/>
      <c r="I281" s="10"/>
    </row>
    <row r="282" customFormat="false" ht="15" hidden="false" customHeight="false" outlineLevel="0" collapsed="false">
      <c r="A282" s="8" t="str">
        <f aca="false">IF(C282="","",ROW()-5)</f>
        <v/>
      </c>
      <c r="B282" s="9"/>
      <c r="C282" s="10"/>
      <c r="D282" s="10"/>
      <c r="E282" s="11"/>
      <c r="F282" s="12" t="str">
        <f aca="false">IF(D282="","",IFERROR(INDEX(Harga!$B$5:$B$7,MATCH(D282,Harga!$A$5:$A$7,0)),""))</f>
        <v/>
      </c>
      <c r="G282" s="12" t="str">
        <f aca="false">IF(OR(E282="",F282=""),"",E282*F282)</f>
        <v/>
      </c>
      <c r="H282" s="10"/>
      <c r="I282" s="10"/>
    </row>
    <row r="283" customFormat="false" ht="15" hidden="false" customHeight="false" outlineLevel="0" collapsed="false">
      <c r="A283" s="8" t="str">
        <f aca="false">IF(C283="","",ROW()-5)</f>
        <v/>
      </c>
      <c r="B283" s="9"/>
      <c r="C283" s="10"/>
      <c r="D283" s="10"/>
      <c r="E283" s="11"/>
      <c r="F283" s="12" t="str">
        <f aca="false">IF(D283="","",IFERROR(INDEX(Harga!$B$5:$B$7,MATCH(D283,Harga!$A$5:$A$7,0)),""))</f>
        <v/>
      </c>
      <c r="G283" s="12" t="str">
        <f aca="false">IF(OR(E283="",F283=""),"",E283*F283)</f>
        <v/>
      </c>
      <c r="H283" s="10"/>
      <c r="I283" s="10"/>
    </row>
    <row r="284" customFormat="false" ht="15" hidden="false" customHeight="false" outlineLevel="0" collapsed="false">
      <c r="A284" s="8" t="str">
        <f aca="false">IF(C284="","",ROW()-5)</f>
        <v/>
      </c>
      <c r="B284" s="9"/>
      <c r="C284" s="10"/>
      <c r="D284" s="10"/>
      <c r="E284" s="11"/>
      <c r="F284" s="12" t="str">
        <f aca="false">IF(D284="","",IFERROR(INDEX(Harga!$B$5:$B$7,MATCH(D284,Harga!$A$5:$A$7,0)),""))</f>
        <v/>
      </c>
      <c r="G284" s="12" t="str">
        <f aca="false">IF(OR(E284="",F284=""),"",E284*F284)</f>
        <v/>
      </c>
      <c r="H284" s="10"/>
      <c r="I284" s="10"/>
    </row>
    <row r="285" customFormat="false" ht="15" hidden="false" customHeight="false" outlineLevel="0" collapsed="false">
      <c r="A285" s="8" t="str">
        <f aca="false">IF(C285="","",ROW()-5)</f>
        <v/>
      </c>
      <c r="B285" s="9"/>
      <c r="C285" s="10"/>
      <c r="D285" s="10"/>
      <c r="E285" s="11"/>
      <c r="F285" s="12" t="str">
        <f aca="false">IF(D285="","",IFERROR(INDEX(Harga!$B$5:$B$7,MATCH(D285,Harga!$A$5:$A$7,0)),""))</f>
        <v/>
      </c>
      <c r="G285" s="12" t="str">
        <f aca="false">IF(OR(E285="",F285=""),"",E285*F285)</f>
        <v/>
      </c>
      <c r="H285" s="10"/>
      <c r="I285" s="10"/>
    </row>
    <row r="286" customFormat="false" ht="15" hidden="false" customHeight="false" outlineLevel="0" collapsed="false">
      <c r="A286" s="8" t="str">
        <f aca="false">IF(C286="","",ROW()-5)</f>
        <v/>
      </c>
      <c r="B286" s="9"/>
      <c r="C286" s="10"/>
      <c r="D286" s="10"/>
      <c r="E286" s="11"/>
      <c r="F286" s="12" t="str">
        <f aca="false">IF(D286="","",IFERROR(INDEX(Harga!$B$5:$B$7,MATCH(D286,Harga!$A$5:$A$7,0)),""))</f>
        <v/>
      </c>
      <c r="G286" s="12" t="str">
        <f aca="false">IF(OR(E286="",F286=""),"",E286*F286)</f>
        <v/>
      </c>
      <c r="H286" s="10"/>
      <c r="I286" s="10"/>
    </row>
    <row r="287" customFormat="false" ht="15" hidden="false" customHeight="false" outlineLevel="0" collapsed="false">
      <c r="A287" s="8" t="str">
        <f aca="false">IF(C287="","",ROW()-5)</f>
        <v/>
      </c>
      <c r="B287" s="9"/>
      <c r="C287" s="10"/>
      <c r="D287" s="10"/>
      <c r="E287" s="11"/>
      <c r="F287" s="12" t="str">
        <f aca="false">IF(D287="","",IFERROR(INDEX(Harga!$B$5:$B$7,MATCH(D287,Harga!$A$5:$A$7,0)),""))</f>
        <v/>
      </c>
      <c r="G287" s="12" t="str">
        <f aca="false">IF(OR(E287="",F287=""),"",E287*F287)</f>
        <v/>
      </c>
      <c r="H287" s="10"/>
      <c r="I287" s="10"/>
    </row>
    <row r="288" customFormat="false" ht="15" hidden="false" customHeight="false" outlineLevel="0" collapsed="false">
      <c r="A288" s="8" t="str">
        <f aca="false">IF(C288="","",ROW()-5)</f>
        <v/>
      </c>
      <c r="B288" s="9"/>
      <c r="C288" s="10"/>
      <c r="D288" s="10"/>
      <c r="E288" s="11"/>
      <c r="F288" s="12" t="str">
        <f aca="false">IF(D288="","",IFERROR(INDEX(Harga!$B$5:$B$7,MATCH(D288,Harga!$A$5:$A$7,0)),""))</f>
        <v/>
      </c>
      <c r="G288" s="12" t="str">
        <f aca="false">IF(OR(E288="",F288=""),"",E288*F288)</f>
        <v/>
      </c>
      <c r="H288" s="10"/>
      <c r="I288" s="10"/>
    </row>
    <row r="289" customFormat="false" ht="15" hidden="false" customHeight="false" outlineLevel="0" collapsed="false">
      <c r="A289" s="8" t="str">
        <f aca="false">IF(C289="","",ROW()-5)</f>
        <v/>
      </c>
      <c r="B289" s="9"/>
      <c r="C289" s="10"/>
      <c r="D289" s="10"/>
      <c r="E289" s="11"/>
      <c r="F289" s="12" t="str">
        <f aca="false">IF(D289="","",IFERROR(INDEX(Harga!$B$5:$B$7,MATCH(D289,Harga!$A$5:$A$7,0)),""))</f>
        <v/>
      </c>
      <c r="G289" s="12" t="str">
        <f aca="false">IF(OR(E289="",F289=""),"",E289*F289)</f>
        <v/>
      </c>
      <c r="H289" s="10"/>
      <c r="I289" s="10"/>
    </row>
    <row r="290" customFormat="false" ht="15" hidden="false" customHeight="false" outlineLevel="0" collapsed="false">
      <c r="A290" s="8" t="str">
        <f aca="false">IF(C290="","",ROW()-5)</f>
        <v/>
      </c>
      <c r="B290" s="9"/>
      <c r="C290" s="10"/>
      <c r="D290" s="10"/>
      <c r="E290" s="11"/>
      <c r="F290" s="12" t="str">
        <f aca="false">IF(D290="","",IFERROR(INDEX(Harga!$B$5:$B$7,MATCH(D290,Harga!$A$5:$A$7,0)),""))</f>
        <v/>
      </c>
      <c r="G290" s="12" t="str">
        <f aca="false">IF(OR(E290="",F290=""),"",E290*F290)</f>
        <v/>
      </c>
      <c r="H290" s="10"/>
      <c r="I290" s="10"/>
    </row>
    <row r="291" customFormat="false" ht="15" hidden="false" customHeight="false" outlineLevel="0" collapsed="false">
      <c r="A291" s="8" t="str">
        <f aca="false">IF(C291="","",ROW()-5)</f>
        <v/>
      </c>
      <c r="B291" s="9"/>
      <c r="C291" s="10"/>
      <c r="D291" s="10"/>
      <c r="E291" s="11"/>
      <c r="F291" s="12" t="str">
        <f aca="false">IF(D291="","",IFERROR(INDEX(Harga!$B$5:$B$7,MATCH(D291,Harga!$A$5:$A$7,0)),""))</f>
        <v/>
      </c>
      <c r="G291" s="12" t="str">
        <f aca="false">IF(OR(E291="",F291=""),"",E291*F291)</f>
        <v/>
      </c>
      <c r="H291" s="10"/>
      <c r="I291" s="10"/>
    </row>
    <row r="292" customFormat="false" ht="15" hidden="false" customHeight="false" outlineLevel="0" collapsed="false">
      <c r="A292" s="8" t="str">
        <f aca="false">IF(C292="","",ROW()-5)</f>
        <v/>
      </c>
      <c r="B292" s="9"/>
      <c r="C292" s="10"/>
      <c r="D292" s="10"/>
      <c r="E292" s="11"/>
      <c r="F292" s="12" t="str">
        <f aca="false">IF(D292="","",IFERROR(INDEX(Harga!$B$5:$B$7,MATCH(D292,Harga!$A$5:$A$7,0)),""))</f>
        <v/>
      </c>
      <c r="G292" s="12" t="str">
        <f aca="false">IF(OR(E292="",F292=""),"",E292*F292)</f>
        <v/>
      </c>
      <c r="H292" s="10"/>
      <c r="I292" s="10"/>
    </row>
    <row r="293" customFormat="false" ht="15" hidden="false" customHeight="false" outlineLevel="0" collapsed="false">
      <c r="A293" s="8" t="str">
        <f aca="false">IF(C293="","",ROW()-5)</f>
        <v/>
      </c>
      <c r="B293" s="9"/>
      <c r="C293" s="10"/>
      <c r="D293" s="10"/>
      <c r="E293" s="11"/>
      <c r="F293" s="12" t="str">
        <f aca="false">IF(D293="","",IFERROR(INDEX(Harga!$B$5:$B$7,MATCH(D293,Harga!$A$5:$A$7,0)),""))</f>
        <v/>
      </c>
      <c r="G293" s="12" t="str">
        <f aca="false">IF(OR(E293="",F293=""),"",E293*F293)</f>
        <v/>
      </c>
      <c r="H293" s="10"/>
      <c r="I293" s="10"/>
    </row>
    <row r="294" customFormat="false" ht="15" hidden="false" customHeight="false" outlineLevel="0" collapsed="false">
      <c r="A294" s="8" t="str">
        <f aca="false">IF(C294="","",ROW()-5)</f>
        <v/>
      </c>
      <c r="B294" s="9"/>
      <c r="C294" s="10"/>
      <c r="D294" s="10"/>
      <c r="E294" s="11"/>
      <c r="F294" s="12" t="str">
        <f aca="false">IF(D294="","",IFERROR(INDEX(Harga!$B$5:$B$7,MATCH(D294,Harga!$A$5:$A$7,0)),""))</f>
        <v/>
      </c>
      <c r="G294" s="12" t="str">
        <f aca="false">IF(OR(E294="",F294=""),"",E294*F294)</f>
        <v/>
      </c>
      <c r="H294" s="10"/>
      <c r="I294" s="10"/>
    </row>
    <row r="295" customFormat="false" ht="15" hidden="false" customHeight="false" outlineLevel="0" collapsed="false">
      <c r="A295" s="8" t="str">
        <f aca="false">IF(C295="","",ROW()-5)</f>
        <v/>
      </c>
      <c r="B295" s="9"/>
      <c r="C295" s="10"/>
      <c r="D295" s="10"/>
      <c r="E295" s="11"/>
      <c r="F295" s="12" t="str">
        <f aca="false">IF(D295="","",IFERROR(INDEX(Harga!$B$5:$B$7,MATCH(D295,Harga!$A$5:$A$7,0)),""))</f>
        <v/>
      </c>
      <c r="G295" s="12" t="str">
        <f aca="false">IF(OR(E295="",F295=""),"",E295*F295)</f>
        <v/>
      </c>
      <c r="H295" s="10"/>
      <c r="I295" s="10"/>
    </row>
    <row r="296" customFormat="false" ht="15" hidden="false" customHeight="false" outlineLevel="0" collapsed="false">
      <c r="A296" s="8" t="str">
        <f aca="false">IF(C296="","",ROW()-5)</f>
        <v/>
      </c>
      <c r="B296" s="9"/>
      <c r="C296" s="10"/>
      <c r="D296" s="10"/>
      <c r="E296" s="11"/>
      <c r="F296" s="12" t="str">
        <f aca="false">IF(D296="","",IFERROR(INDEX(Harga!$B$5:$B$7,MATCH(D296,Harga!$A$5:$A$7,0)),""))</f>
        <v/>
      </c>
      <c r="G296" s="12" t="str">
        <f aca="false">IF(OR(E296="",F296=""),"",E296*F296)</f>
        <v/>
      </c>
      <c r="H296" s="10"/>
      <c r="I296" s="10"/>
    </row>
    <row r="297" customFormat="false" ht="15" hidden="false" customHeight="false" outlineLevel="0" collapsed="false">
      <c r="A297" s="8" t="str">
        <f aca="false">IF(C297="","",ROW()-5)</f>
        <v/>
      </c>
      <c r="B297" s="9"/>
      <c r="C297" s="10"/>
      <c r="D297" s="10"/>
      <c r="E297" s="11"/>
      <c r="F297" s="12" t="str">
        <f aca="false">IF(D297="","",IFERROR(INDEX(Harga!$B$5:$B$7,MATCH(D297,Harga!$A$5:$A$7,0)),""))</f>
        <v/>
      </c>
      <c r="G297" s="12" t="str">
        <f aca="false">IF(OR(E297="",F297=""),"",E297*F297)</f>
        <v/>
      </c>
      <c r="H297" s="10"/>
      <c r="I297" s="10"/>
    </row>
    <row r="298" customFormat="false" ht="15" hidden="false" customHeight="false" outlineLevel="0" collapsed="false">
      <c r="A298" s="8" t="str">
        <f aca="false">IF(C298="","",ROW()-5)</f>
        <v/>
      </c>
      <c r="B298" s="9"/>
      <c r="C298" s="10"/>
      <c r="D298" s="10"/>
      <c r="E298" s="11"/>
      <c r="F298" s="12" t="str">
        <f aca="false">IF(D298="","",IFERROR(INDEX(Harga!$B$5:$B$7,MATCH(D298,Harga!$A$5:$A$7,0)),""))</f>
        <v/>
      </c>
      <c r="G298" s="12" t="str">
        <f aca="false">IF(OR(E298="",F298=""),"",E298*F298)</f>
        <v/>
      </c>
      <c r="H298" s="10"/>
      <c r="I298" s="10"/>
    </row>
    <row r="299" customFormat="false" ht="15" hidden="false" customHeight="false" outlineLevel="0" collapsed="false">
      <c r="A299" s="8" t="str">
        <f aca="false">IF(C299="","",ROW()-5)</f>
        <v/>
      </c>
      <c r="B299" s="9"/>
      <c r="C299" s="10"/>
      <c r="D299" s="10"/>
      <c r="E299" s="11"/>
      <c r="F299" s="12" t="str">
        <f aca="false">IF(D299="","",IFERROR(INDEX(Harga!$B$5:$B$7,MATCH(D299,Harga!$A$5:$A$7,0)),""))</f>
        <v/>
      </c>
      <c r="G299" s="12" t="str">
        <f aca="false">IF(OR(E299="",F299=""),"",E299*F299)</f>
        <v/>
      </c>
      <c r="H299" s="10"/>
      <c r="I299" s="10"/>
    </row>
    <row r="300" customFormat="false" ht="15" hidden="false" customHeight="false" outlineLevel="0" collapsed="false">
      <c r="A300" s="8" t="str">
        <f aca="false">IF(C300="","",ROW()-5)</f>
        <v/>
      </c>
      <c r="B300" s="9"/>
      <c r="C300" s="10"/>
      <c r="D300" s="10"/>
      <c r="E300" s="11"/>
      <c r="F300" s="12" t="str">
        <f aca="false">IF(D300="","",IFERROR(INDEX(Harga!$B$5:$B$7,MATCH(D300,Harga!$A$5:$A$7,0)),""))</f>
        <v/>
      </c>
      <c r="G300" s="12" t="str">
        <f aca="false">IF(OR(E300="",F300=""),"",E300*F300)</f>
        <v/>
      </c>
      <c r="H300" s="10"/>
      <c r="I300" s="10"/>
    </row>
    <row r="301" customFormat="false" ht="15" hidden="false" customHeight="false" outlineLevel="0" collapsed="false">
      <c r="A301" s="8" t="str">
        <f aca="false">IF(C301="","",ROW()-5)</f>
        <v/>
      </c>
      <c r="B301" s="9"/>
      <c r="C301" s="10"/>
      <c r="D301" s="10"/>
      <c r="E301" s="11"/>
      <c r="F301" s="12" t="str">
        <f aca="false">IF(D301="","",IFERROR(INDEX(Harga!$B$5:$B$7,MATCH(D301,Harga!$A$5:$A$7,0)),""))</f>
        <v/>
      </c>
      <c r="G301" s="12" t="str">
        <f aca="false">IF(OR(E301="",F301=""),"",E301*F301)</f>
        <v/>
      </c>
      <c r="H301" s="10"/>
      <c r="I301" s="10"/>
    </row>
    <row r="302" customFormat="false" ht="15" hidden="false" customHeight="false" outlineLevel="0" collapsed="false">
      <c r="A302" s="8" t="str">
        <f aca="false">IF(C302="","",ROW()-5)</f>
        <v/>
      </c>
      <c r="B302" s="9"/>
      <c r="C302" s="10"/>
      <c r="D302" s="10"/>
      <c r="E302" s="11"/>
      <c r="F302" s="12" t="str">
        <f aca="false">IF(D302="","",IFERROR(INDEX(Harga!$B$5:$B$7,MATCH(D302,Harga!$A$5:$A$7,0)),""))</f>
        <v/>
      </c>
      <c r="G302" s="12" t="str">
        <f aca="false">IF(OR(E302="",F302=""),"",E302*F302)</f>
        <v/>
      </c>
      <c r="H302" s="10"/>
      <c r="I302" s="10"/>
    </row>
    <row r="303" customFormat="false" ht="15" hidden="false" customHeight="false" outlineLevel="0" collapsed="false">
      <c r="A303" s="8" t="str">
        <f aca="false">IF(C303="","",ROW()-5)</f>
        <v/>
      </c>
      <c r="B303" s="9"/>
      <c r="C303" s="10"/>
      <c r="D303" s="10"/>
      <c r="E303" s="11"/>
      <c r="F303" s="12" t="str">
        <f aca="false">IF(D303="","",IFERROR(INDEX(Harga!$B$5:$B$7,MATCH(D303,Harga!$A$5:$A$7,0)),""))</f>
        <v/>
      </c>
      <c r="G303" s="12" t="str">
        <f aca="false">IF(OR(E303="",F303=""),"",E303*F303)</f>
        <v/>
      </c>
      <c r="H303" s="10"/>
      <c r="I303" s="10"/>
    </row>
    <row r="304" customFormat="false" ht="15" hidden="false" customHeight="false" outlineLevel="0" collapsed="false">
      <c r="A304" s="8" t="str">
        <f aca="false">IF(C304="","",ROW()-5)</f>
        <v/>
      </c>
      <c r="B304" s="9"/>
      <c r="C304" s="10"/>
      <c r="D304" s="10"/>
      <c r="E304" s="11"/>
      <c r="F304" s="12" t="str">
        <f aca="false">IF(D304="","",IFERROR(INDEX(Harga!$B$5:$B$7,MATCH(D304,Harga!$A$5:$A$7,0)),""))</f>
        <v/>
      </c>
      <c r="G304" s="12" t="str">
        <f aca="false">IF(OR(E304="",F304=""),"",E304*F304)</f>
        <v/>
      </c>
      <c r="H304" s="10"/>
      <c r="I304" s="10"/>
    </row>
    <row r="305" customFormat="false" ht="15" hidden="false" customHeight="false" outlineLevel="0" collapsed="false">
      <c r="A305" s="8" t="str">
        <f aca="false">IF(C305="","",ROW()-5)</f>
        <v/>
      </c>
      <c r="B305" s="9"/>
      <c r="C305" s="10"/>
      <c r="D305" s="10"/>
      <c r="E305" s="11"/>
      <c r="F305" s="12" t="str">
        <f aca="false">IF(D305="","",IFERROR(INDEX(Harga!$B$5:$B$7,MATCH(D305,Harga!$A$5:$A$7,0)),""))</f>
        <v/>
      </c>
      <c r="G305" s="12" t="str">
        <f aca="false">IF(OR(E305="",F305=""),"",E305*F305)</f>
        <v/>
      </c>
      <c r="H305" s="10"/>
      <c r="I305" s="10"/>
    </row>
  </sheetData>
  <mergeCells count="1">
    <mergeCell ref="A2:I2"/>
  </mergeCells>
  <conditionalFormatting sqref="H6:H305">
    <cfRule type="expression" priority="2" aboveAverage="0" equalAverage="0" bottom="0" percent="0" rank="0" text="" dxfId="0">
      <formula>H6="Lunas"</formula>
    </cfRule>
    <cfRule type="expression" priority="3" aboveAverage="0" equalAverage="0" bottom="0" percent="0" rank="0" text="" dxfId="1">
      <formula>H6="Belum"</formula>
    </cfRule>
  </conditionalFormatting>
  <dataValidations count="3">
    <dataValidation allowBlank="true" error="Pilih varian dari daftar (lihat sheet Harga)." errorStyle="stop" errorTitle="Varian tidak dikenal" operator="between" showDropDown="false" showErrorMessage="true" showInputMessage="false" sqref="D6:D305" type="list">
      <formula1>Harga!$A$5:$A$7</formula1>
      <formula2>0</formula2>
    </dataValidation>
    <dataValidation allowBlank="true" errorStyle="stop" operator="between" showDropDown="false" showErrorMessage="false" showInputMessage="false" sqref="H6:H305" type="list">
      <formula1>"Lunas,Belum"</formula1>
      <formula2>0</formula2>
    </dataValidation>
    <dataValidation allowBlank="true" error="Isi bilangan bulat lebih dari 0." errorStyle="stop" errorTitle="Jumlah tidak valid" operator="greaterThan" showDropDown="false" showErrorMessage="true" showInputMessage="false" sqref="E6:E305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9.7" hidden="false" customHeight="false" outlineLevel="0" collapsed="false">
      <c r="A1" s="1" t="s">
        <v>18</v>
      </c>
    </row>
    <row r="2" customFormat="false" ht="15" hidden="false" customHeight="false" outlineLevel="0" collapsed="false">
      <c r="A2" s="13" t="s">
        <v>19</v>
      </c>
    </row>
    <row r="4" customFormat="false" ht="26.85" hidden="false" customHeight="false" outlineLevel="0" collapsed="false">
      <c r="A4" s="14" t="s">
        <v>12</v>
      </c>
      <c r="B4" s="14" t="s">
        <v>20</v>
      </c>
      <c r="C4" s="14" t="s">
        <v>21</v>
      </c>
      <c r="D4" s="14" t="s">
        <v>22</v>
      </c>
      <c r="E4" s="14" t="s">
        <v>23</v>
      </c>
    </row>
    <row r="5" customFormat="false" ht="15" hidden="false" customHeight="false" outlineLevel="0" collapsed="false">
      <c r="A5" s="15" t="str">
        <f aca="false">Harga!A5</f>
        <v>Coklat</v>
      </c>
      <c r="B5" s="16" t="n">
        <f aca="false">COUNTIFS(Pesanan!$D$6:$D$305,A5)</f>
        <v>0</v>
      </c>
      <c r="C5" s="16" t="n">
        <f aca="false">SUMIFS(Pesanan!$E$6:$E$305,Pesanan!$D$6:$D$305,A5)</f>
        <v>0</v>
      </c>
      <c r="D5" s="17" t="n">
        <f aca="false">SUMIFS(Pesanan!$G$6:$G$305,Pesanan!$D$6:$D$305,A5)</f>
        <v>0</v>
      </c>
      <c r="E5" s="18" t="n">
        <f aca="false">IF($D$8=0,0,D5/$D$8)</f>
        <v>0</v>
      </c>
    </row>
    <row r="6" customFormat="false" ht="15" hidden="false" customHeight="false" outlineLevel="0" collapsed="false">
      <c r="A6" s="15" t="str">
        <f aca="false">Harga!A6</f>
        <v>Vanilla</v>
      </c>
      <c r="B6" s="16" t="n">
        <f aca="false">COUNTIFS(Pesanan!$D$6:$D$305,A6)</f>
        <v>0</v>
      </c>
      <c r="C6" s="16" t="n">
        <f aca="false">SUMIFS(Pesanan!$E$6:$E$305,Pesanan!$D$6:$D$305,A6)</f>
        <v>0</v>
      </c>
      <c r="D6" s="17" t="n">
        <f aca="false">SUMIFS(Pesanan!$G$6:$G$305,Pesanan!$D$6:$D$305,A6)</f>
        <v>0</v>
      </c>
      <c r="E6" s="18" t="n">
        <f aca="false">IF($D$8=0,0,D6/$D$8)</f>
        <v>0</v>
      </c>
    </row>
    <row r="7" customFormat="false" ht="15" hidden="false" customHeight="false" outlineLevel="0" collapsed="false">
      <c r="A7" s="15" t="str">
        <f aca="false">Harga!A7</f>
        <v>Strawberry</v>
      </c>
      <c r="B7" s="16" t="n">
        <f aca="false">COUNTIFS(Pesanan!$D$6:$D$305,A7)</f>
        <v>0</v>
      </c>
      <c r="C7" s="16" t="n">
        <f aca="false">SUMIFS(Pesanan!$E$6:$E$305,Pesanan!$D$6:$D$305,A7)</f>
        <v>0</v>
      </c>
      <c r="D7" s="17" t="n">
        <f aca="false">SUMIFS(Pesanan!$G$6:$G$305,Pesanan!$D$6:$D$305,A7)</f>
        <v>0</v>
      </c>
      <c r="E7" s="18" t="n">
        <f aca="false">IF($D$8=0,0,D7/$D$8)</f>
        <v>0</v>
      </c>
    </row>
    <row r="8" customFormat="false" ht="15" hidden="false" customHeight="false" outlineLevel="0" collapsed="false">
      <c r="A8" s="19" t="s">
        <v>24</v>
      </c>
      <c r="B8" s="20" t="n">
        <f aca="false">SUM(B5:B7)</f>
        <v>0</v>
      </c>
      <c r="C8" s="20" t="n">
        <f aca="false">SUM(C5:C7)</f>
        <v>0</v>
      </c>
      <c r="D8" s="21" t="n">
        <f aca="false">SUM(D5:D7)</f>
        <v>0</v>
      </c>
      <c r="E8" s="22" t="n">
        <f aca="false">SUM(E5:E7)</f>
        <v>0</v>
      </c>
    </row>
    <row r="10" customFormat="false" ht="15" hidden="false" customHeight="false" outlineLevel="0" collapsed="false">
      <c r="A10" s="23" t="s">
        <v>25</v>
      </c>
    </row>
    <row r="11" customFormat="false" ht="15" hidden="false" customHeight="false" outlineLevel="0" collapsed="false">
      <c r="A11" s="24" t="s">
        <v>26</v>
      </c>
      <c r="D11" s="12" t="n">
        <f aca="false">SUMIFS(Pesanan!$G$6:$G$305,Pesanan!$H$6:$H$305,"Lunas")</f>
        <v>0</v>
      </c>
    </row>
    <row r="12" customFormat="false" ht="15" hidden="false" customHeight="false" outlineLevel="0" collapsed="false">
      <c r="A12" s="24" t="s">
        <v>27</v>
      </c>
      <c r="D12" s="12" t="n">
        <f aca="false">SUMIFS(Pesanan!$G$6:$G$305,Pesanan!$H$6:$H$305,"Belum")</f>
        <v>0</v>
      </c>
    </row>
    <row r="13" customFormat="false" ht="15" hidden="false" customHeight="false" outlineLevel="0" collapsed="false">
      <c r="A13" s="24" t="s">
        <v>28</v>
      </c>
      <c r="D13" s="12" t="n">
        <f aca="false">D8-D11-D12</f>
        <v>0</v>
      </c>
    </row>
    <row r="15" customFormat="false" ht="15" hidden="false" customHeight="false" outlineLevel="0" collapsed="false">
      <c r="A15" s="25" t="s">
        <v>29</v>
      </c>
      <c r="D15" s="26" t="str">
        <f aca="false">IF(C8=0,"-",INDEX(A5:A7,MATCH(MAX(C5:C7),C5:C7,0)))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27" t="s">
        <v>30</v>
      </c>
    </row>
    <row r="2" customFormat="false" ht="15" hidden="false" customHeight="false" outlineLevel="0" collapsed="false">
      <c r="A2" s="13" t="s">
        <v>31</v>
      </c>
    </row>
    <row r="4" customFormat="false" ht="15" hidden="false" customHeight="false" outlineLevel="0" collapsed="false">
      <c r="A4" s="28" t="s">
        <v>12</v>
      </c>
      <c r="B4" s="28" t="s">
        <v>14</v>
      </c>
    </row>
    <row r="5" customFormat="false" ht="15" hidden="false" customHeight="false" outlineLevel="0" collapsed="false">
      <c r="A5" s="29" t="s">
        <v>5</v>
      </c>
      <c r="B5" s="30" t="n">
        <v>5000</v>
      </c>
    </row>
    <row r="6" customFormat="false" ht="15" hidden="false" customHeight="false" outlineLevel="0" collapsed="false">
      <c r="A6" s="29" t="s">
        <v>32</v>
      </c>
      <c r="B6" s="30" t="n">
        <v>5000</v>
      </c>
    </row>
    <row r="7" customFormat="false" ht="15" hidden="false" customHeight="false" outlineLevel="0" collapsed="false">
      <c r="A7" s="29" t="s">
        <v>33</v>
      </c>
      <c r="B7" s="30" t="n">
        <v>5000</v>
      </c>
    </row>
    <row r="9" customFormat="false" ht="15" hidden="false" customHeight="false" outlineLevel="0" collapsed="false">
      <c r="A9" s="13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2026-10-11T19:30:13Z</dcterms:created>
  <dc:creator>openpyxl</dc:creator>
  <dc:description/>
  <dc:language>en-US</dc:language>
  <cp:lastModifiedBy/>
  <dcterms:modified xsi:type="dcterms:W3CDTF">2026-10-11T19:30:16Z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